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cc1706cf6aa64/Documents/"/>
    </mc:Choice>
  </mc:AlternateContent>
  <xr:revisionPtr revIDLastSave="70" documentId="13_ncr:1_{A96FC794-9F26-47D1-8FA5-B9BD16F28838}" xr6:coauthVersionLast="47" xr6:coauthVersionMax="47" xr10:uidLastSave="{D9F7C650-54BE-4E5B-8E75-55BD37DEDF6C}"/>
  <bookViews>
    <workbookView xWindow="-110" yWindow="-110" windowWidth="19420" windowHeight="10300" xr2:uid="{DFB8F5DB-038A-47A8-A91C-AEB40EEC5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4" i="1" l="1"/>
  <c r="L27" i="1"/>
  <c r="L30" i="1"/>
  <c r="L33" i="1"/>
  <c r="K24" i="1"/>
  <c r="K27" i="1"/>
  <c r="K30" i="1"/>
  <c r="K33" i="1"/>
  <c r="J24" i="1"/>
  <c r="J27" i="1"/>
  <c r="J30" i="1"/>
  <c r="J33" i="1"/>
  <c r="K21" i="1"/>
  <c r="L21" i="1"/>
  <c r="J21" i="1"/>
  <c r="L15" i="1"/>
  <c r="L9" i="1"/>
  <c r="L12" i="1"/>
  <c r="K6" i="1"/>
  <c r="K9" i="1"/>
  <c r="K12" i="1"/>
  <c r="K15" i="1"/>
  <c r="K3" i="1"/>
  <c r="L3" i="1"/>
  <c r="J6" i="1"/>
  <c r="J9" i="1"/>
  <c r="J12" i="1"/>
  <c r="J15" i="1"/>
  <c r="J3" i="1"/>
</calcChain>
</file>

<file path=xl/sharedStrings.xml><?xml version="1.0" encoding="utf-8"?>
<sst xmlns="http://schemas.openxmlformats.org/spreadsheetml/2006/main" count="93" uniqueCount="24">
  <si>
    <t>No</t>
  </si>
  <si>
    <t>R</t>
  </si>
  <si>
    <t>Nominal R</t>
  </si>
  <si>
    <t>I</t>
  </si>
  <si>
    <t>I1</t>
  </si>
  <si>
    <t>I2</t>
  </si>
  <si>
    <t>1.</t>
  </si>
  <si>
    <t>2.</t>
  </si>
  <si>
    <t>3.</t>
  </si>
  <si>
    <t>4.</t>
  </si>
  <si>
    <t>5.</t>
  </si>
  <si>
    <t>R ≤ 100 Ω</t>
  </si>
  <si>
    <t>100 &lt; R ≤ 1k Ω</t>
  </si>
  <si>
    <t>1k &lt; R ≤ 10k Ω</t>
  </si>
  <si>
    <t>10k &lt; R ≤ 100k Ω</t>
  </si>
  <si>
    <t>100k &lt; R ≤ 1M Ω</t>
  </si>
  <si>
    <t>HP Analog (mA)</t>
  </si>
  <si>
    <t>HP Digital (mA)</t>
  </si>
  <si>
    <t>Teori (mA)</t>
  </si>
  <si>
    <t>1.98</t>
  </si>
  <si>
    <t>Error (%)</t>
  </si>
  <si>
    <r>
      <t>Resistansi Dalam (</t>
    </r>
    <r>
      <rPr>
        <b/>
        <sz val="12"/>
        <color theme="1"/>
        <rFont val="Calibri"/>
        <family val="2"/>
      </rPr>
      <t>Ω</t>
    </r>
    <r>
      <rPr>
        <b/>
        <sz val="12"/>
        <color theme="1"/>
        <rFont val="Times New Roman"/>
        <family val="1"/>
      </rPr>
      <t>)</t>
    </r>
  </si>
  <si>
    <t>13,394,47</t>
  </si>
  <si>
    <r>
      <t>Resistansi Dalam (</t>
    </r>
    <r>
      <rPr>
        <b/>
        <sz val="11"/>
        <color theme="1"/>
        <rFont val="Calibri"/>
        <family val="2"/>
      </rPr>
      <t>Ω</t>
    </r>
    <r>
      <rPr>
        <b/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</si>
</sst>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 wrapText="1"/>
    </xf>
    <xf numFmtId="44" fontId="2" fillId="0" borderId="7" xfId="1" applyFont="1" applyBorder="1" applyAlignment="1">
      <alignment horizontal="center" vertical="center" wrapText="1"/>
    </xf>
    <xf numFmtId="44" fontId="2" fillId="0" borderId="3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44" fontId="8" fillId="0" borderId="2" xfId="1" applyFont="1" applyBorder="1" applyAlignment="1">
      <alignment horizontal="center" vertical="center" wrapText="1"/>
    </xf>
    <xf numFmtId="44" fontId="8" fillId="0" borderId="7" xfId="1" applyFont="1" applyBorder="1" applyAlignment="1">
      <alignment horizontal="center" vertical="center" wrapText="1"/>
    </xf>
    <xf numFmtId="44" fontId="8" fillId="0" borderId="3" xfId="1" applyFont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83380-BFFB-4BCF-B78A-F41EEE520394}">
  <dimension ref="A1:X35"/>
  <sheetViews>
    <sheetView tabSelected="1" topLeftCell="G1" zoomScaleNormal="100" workbookViewId="0">
      <selection activeCell="N1" sqref="N1:X17"/>
    </sheetView>
  </sheetViews>
  <sheetFormatPr defaultRowHeight="15.5" x14ac:dyDescent="0.35"/>
  <cols>
    <col min="1" max="1" width="4.1796875" style="1" customWidth="1"/>
    <col min="2" max="2" width="12" style="1" customWidth="1"/>
    <col min="3" max="3" width="11" style="1" customWidth="1"/>
    <col min="4" max="4" width="8.7265625" style="1" customWidth="1"/>
    <col min="5" max="5" width="8.81640625" style="1" customWidth="1"/>
    <col min="6" max="6" width="10.36328125" style="1" customWidth="1"/>
    <col min="7" max="7" width="9.1796875" style="1" customWidth="1"/>
    <col min="8" max="8" width="6.90625" style="1" customWidth="1"/>
    <col min="9" max="9" width="10" style="1" customWidth="1"/>
    <col min="10" max="10" width="7.90625" style="1" customWidth="1"/>
    <col min="11" max="11" width="8" style="1" customWidth="1"/>
    <col min="12" max="12" width="7.6328125" style="1" customWidth="1"/>
    <col min="13" max="14" width="8.7265625" style="1"/>
    <col min="15" max="15" width="13.54296875" style="1" customWidth="1"/>
    <col min="16" max="17" width="8.7265625" style="1"/>
    <col min="18" max="18" width="8.7265625" style="1" customWidth="1"/>
    <col min="19" max="19" width="7.36328125" style="1" customWidth="1"/>
    <col min="20" max="20" width="7.7265625" style="1" customWidth="1"/>
    <col min="21" max="21" width="7.6328125" style="1" customWidth="1"/>
    <col min="22" max="22" width="8.453125" style="1" customWidth="1"/>
    <col min="23" max="23" width="7.81640625" style="1" customWidth="1"/>
    <col min="24" max="24" width="9.54296875" style="1" customWidth="1"/>
    <col min="25" max="16384" width="8.7265625" style="1"/>
  </cols>
  <sheetData>
    <row r="1" spans="1:24" x14ac:dyDescent="0.35">
      <c r="A1" s="13" t="s">
        <v>0</v>
      </c>
      <c r="B1" s="13" t="s">
        <v>1</v>
      </c>
      <c r="C1" s="13" t="s">
        <v>2</v>
      </c>
      <c r="D1" s="15" t="s">
        <v>18</v>
      </c>
      <c r="E1" s="16"/>
      <c r="F1" s="17"/>
      <c r="G1" s="15" t="s">
        <v>16</v>
      </c>
      <c r="H1" s="16"/>
      <c r="I1" s="17"/>
      <c r="J1" s="15" t="s">
        <v>20</v>
      </c>
      <c r="K1" s="16"/>
      <c r="L1" s="17"/>
      <c r="N1" s="40" t="s">
        <v>1</v>
      </c>
      <c r="O1" s="40" t="s">
        <v>2</v>
      </c>
      <c r="P1" s="41" t="s">
        <v>18</v>
      </c>
      <c r="Q1" s="42"/>
      <c r="R1" s="43"/>
      <c r="S1" s="41" t="s">
        <v>16</v>
      </c>
      <c r="T1" s="42"/>
      <c r="U1" s="43"/>
      <c r="V1" s="41" t="s">
        <v>23</v>
      </c>
      <c r="W1" s="42"/>
      <c r="X1" s="43"/>
    </row>
    <row r="2" spans="1:24" x14ac:dyDescent="0.35">
      <c r="A2" s="14"/>
      <c r="B2" s="14"/>
      <c r="C2" s="14"/>
      <c r="D2" s="3" t="s">
        <v>3</v>
      </c>
      <c r="E2" s="3" t="s">
        <v>4</v>
      </c>
      <c r="F2" s="3" t="s">
        <v>5</v>
      </c>
      <c r="G2" s="3" t="s">
        <v>3</v>
      </c>
      <c r="H2" s="3" t="s">
        <v>4</v>
      </c>
      <c r="I2" s="3" t="s">
        <v>5</v>
      </c>
      <c r="J2" s="3" t="s">
        <v>3</v>
      </c>
      <c r="K2" s="3" t="s">
        <v>4</v>
      </c>
      <c r="L2" s="3" t="s">
        <v>5</v>
      </c>
      <c r="N2" s="44"/>
      <c r="O2" s="44"/>
      <c r="P2" s="45" t="s">
        <v>3</v>
      </c>
      <c r="Q2" s="45" t="s">
        <v>4</v>
      </c>
      <c r="R2" s="45" t="s">
        <v>5</v>
      </c>
      <c r="S2" s="45" t="s">
        <v>3</v>
      </c>
      <c r="T2" s="45" t="s">
        <v>4</v>
      </c>
      <c r="U2" s="45" t="s">
        <v>5</v>
      </c>
      <c r="V2" s="45" t="s">
        <v>3</v>
      </c>
      <c r="W2" s="45" t="s">
        <v>4</v>
      </c>
      <c r="X2" s="45" t="s">
        <v>5</v>
      </c>
    </row>
    <row r="3" spans="1:24" x14ac:dyDescent="0.35">
      <c r="A3" s="4" t="s">
        <v>6</v>
      </c>
      <c r="B3" s="10" t="s">
        <v>11</v>
      </c>
      <c r="C3" s="2">
        <v>10.1</v>
      </c>
      <c r="D3" s="28">
        <v>79.09</v>
      </c>
      <c r="E3" s="29">
        <v>68.73</v>
      </c>
      <c r="F3" s="30">
        <v>10.35</v>
      </c>
      <c r="G3" s="34">
        <v>35</v>
      </c>
      <c r="H3" s="22">
        <v>3.5</v>
      </c>
      <c r="I3" s="25">
        <v>4</v>
      </c>
      <c r="J3" s="19">
        <f>(G3-D3)/D3*100</f>
        <v>-55.746617777215832</v>
      </c>
      <c r="K3" s="22">
        <f t="shared" ref="K3:L3" si="0">(H3-E3)/E3*100</f>
        <v>-94.907609486396041</v>
      </c>
      <c r="L3" s="25">
        <f t="shared" si="0"/>
        <v>-61.35265700483091</v>
      </c>
      <c r="N3" s="46" t="s">
        <v>11</v>
      </c>
      <c r="O3" s="47">
        <v>10.1</v>
      </c>
      <c r="P3" s="48">
        <v>79.09</v>
      </c>
      <c r="Q3" s="48">
        <v>68.73</v>
      </c>
      <c r="R3" s="48">
        <v>10.35</v>
      </c>
      <c r="S3" s="40">
        <v>35</v>
      </c>
      <c r="T3" s="49">
        <v>3.5</v>
      </c>
      <c r="U3" s="49">
        <v>4</v>
      </c>
      <c r="V3" s="49">
        <v>12.72</v>
      </c>
      <c r="W3" s="49">
        <v>190.1</v>
      </c>
      <c r="X3" s="49">
        <v>107.4</v>
      </c>
    </row>
    <row r="4" spans="1:24" x14ac:dyDescent="0.35">
      <c r="A4" s="5"/>
      <c r="B4" s="11"/>
      <c r="C4" s="2">
        <v>10.199999999999999</v>
      </c>
      <c r="D4" s="28"/>
      <c r="E4" s="29"/>
      <c r="F4" s="30"/>
      <c r="G4" s="35"/>
      <c r="H4" s="23"/>
      <c r="I4" s="26"/>
      <c r="J4" s="20"/>
      <c r="K4" s="23"/>
      <c r="L4" s="26"/>
      <c r="N4" s="50"/>
      <c r="O4" s="47">
        <v>10.199999999999999</v>
      </c>
      <c r="P4" s="48"/>
      <c r="Q4" s="48"/>
      <c r="R4" s="48"/>
      <c r="S4" s="51"/>
      <c r="T4" s="52"/>
      <c r="U4" s="52"/>
      <c r="V4" s="52"/>
      <c r="W4" s="52"/>
      <c r="X4" s="52"/>
    </row>
    <row r="5" spans="1:24" x14ac:dyDescent="0.35">
      <c r="A5" s="6"/>
      <c r="B5" s="12"/>
      <c r="C5" s="2">
        <v>67.7</v>
      </c>
      <c r="D5" s="28"/>
      <c r="E5" s="29"/>
      <c r="F5" s="30"/>
      <c r="G5" s="36"/>
      <c r="H5" s="24"/>
      <c r="I5" s="27"/>
      <c r="J5" s="21"/>
      <c r="K5" s="24"/>
      <c r="L5" s="27"/>
      <c r="N5" s="53"/>
      <c r="O5" s="47">
        <v>67.7</v>
      </c>
      <c r="P5" s="48"/>
      <c r="Q5" s="48"/>
      <c r="R5" s="48"/>
      <c r="S5" s="44"/>
      <c r="T5" s="54"/>
      <c r="U5" s="54"/>
      <c r="V5" s="54"/>
      <c r="W5" s="54"/>
      <c r="X5" s="54"/>
    </row>
    <row r="6" spans="1:24" x14ac:dyDescent="0.35">
      <c r="A6" s="4" t="s">
        <v>7</v>
      </c>
      <c r="B6" s="10" t="s">
        <v>12</v>
      </c>
      <c r="C6" s="2">
        <v>325</v>
      </c>
      <c r="D6" s="19">
        <v>3.29</v>
      </c>
      <c r="E6" s="22">
        <v>1.31</v>
      </c>
      <c r="F6" s="25" t="s">
        <v>19</v>
      </c>
      <c r="G6" s="19">
        <v>2.75</v>
      </c>
      <c r="H6" s="22">
        <v>1</v>
      </c>
      <c r="I6" s="25">
        <v>1.5</v>
      </c>
      <c r="J6" s="19">
        <f t="shared" ref="J6:L15" si="1">(G6-D6)/D6*100</f>
        <v>-16.413373860182372</v>
      </c>
      <c r="K6" s="22">
        <f t="shared" si="1"/>
        <v>-23.664122137404583</v>
      </c>
      <c r="L6" s="25">
        <v>24.242000000000001</v>
      </c>
      <c r="N6" s="46" t="s">
        <v>12</v>
      </c>
      <c r="O6" s="47">
        <v>325</v>
      </c>
      <c r="P6" s="49">
        <v>3.29</v>
      </c>
      <c r="Q6" s="49">
        <v>1.31</v>
      </c>
      <c r="R6" s="49" t="s">
        <v>19</v>
      </c>
      <c r="S6" s="49">
        <v>2.75</v>
      </c>
      <c r="T6" s="49">
        <v>1</v>
      </c>
      <c r="U6" s="49">
        <v>1.5</v>
      </c>
      <c r="V6" s="49">
        <v>63.81</v>
      </c>
      <c r="W6" s="49">
        <v>101.5</v>
      </c>
      <c r="X6" s="49">
        <v>69.695999999999998</v>
      </c>
    </row>
    <row r="7" spans="1:24" x14ac:dyDescent="0.35">
      <c r="A7" s="5"/>
      <c r="B7" s="11"/>
      <c r="C7" s="2">
        <v>327.2</v>
      </c>
      <c r="D7" s="20"/>
      <c r="E7" s="23"/>
      <c r="F7" s="26"/>
      <c r="G7" s="20"/>
      <c r="H7" s="23"/>
      <c r="I7" s="26"/>
      <c r="J7" s="20"/>
      <c r="K7" s="23"/>
      <c r="L7" s="26"/>
      <c r="N7" s="50"/>
      <c r="O7" s="47">
        <v>327.2</v>
      </c>
      <c r="P7" s="52"/>
      <c r="Q7" s="52"/>
      <c r="R7" s="52"/>
      <c r="S7" s="52"/>
      <c r="T7" s="52"/>
      <c r="U7" s="52"/>
      <c r="V7" s="52"/>
      <c r="W7" s="52"/>
      <c r="X7" s="52"/>
    </row>
    <row r="8" spans="1:24" x14ac:dyDescent="0.35">
      <c r="A8" s="6"/>
      <c r="B8" s="12"/>
      <c r="C8" s="2">
        <v>217.8</v>
      </c>
      <c r="D8" s="21"/>
      <c r="E8" s="24"/>
      <c r="F8" s="27"/>
      <c r="G8" s="21"/>
      <c r="H8" s="24"/>
      <c r="I8" s="27"/>
      <c r="J8" s="21"/>
      <c r="K8" s="24"/>
      <c r="L8" s="27"/>
      <c r="N8" s="53"/>
      <c r="O8" s="47">
        <v>217.8</v>
      </c>
      <c r="P8" s="54"/>
      <c r="Q8" s="54"/>
      <c r="R8" s="54"/>
      <c r="S8" s="54"/>
      <c r="T8" s="54"/>
      <c r="U8" s="54"/>
      <c r="V8" s="54"/>
      <c r="W8" s="54"/>
      <c r="X8" s="54"/>
    </row>
    <row r="9" spans="1:24" x14ac:dyDescent="0.35">
      <c r="A9" s="4" t="s">
        <v>8</v>
      </c>
      <c r="B9" s="10" t="s">
        <v>13</v>
      </c>
      <c r="C9" s="2">
        <v>5600</v>
      </c>
      <c r="D9" s="19">
        <v>0.22</v>
      </c>
      <c r="E9" s="22">
        <v>4.6926000000000002E-2</v>
      </c>
      <c r="F9" s="25">
        <v>0.17</v>
      </c>
      <c r="G9" s="19">
        <v>0.15</v>
      </c>
      <c r="H9" s="22">
        <v>0.05</v>
      </c>
      <c r="I9" s="25">
        <v>0.1</v>
      </c>
      <c r="J9" s="19">
        <f t="shared" ref="J9" si="2">(G9-D9)/D9*100</f>
        <v>-31.818181818181824</v>
      </c>
      <c r="K9" s="22">
        <f t="shared" si="1"/>
        <v>6.5507394621318671</v>
      </c>
      <c r="L9" s="25">
        <f t="shared" si="1"/>
        <v>-41.176470588235297</v>
      </c>
      <c r="N9" s="46" t="s">
        <v>13</v>
      </c>
      <c r="O9" s="47">
        <v>5600</v>
      </c>
      <c r="P9" s="49">
        <v>0.22</v>
      </c>
      <c r="Q9" s="49">
        <v>4.6926000000000002E-2</v>
      </c>
      <c r="R9" s="49">
        <v>0.17</v>
      </c>
      <c r="S9" s="49">
        <v>0.15</v>
      </c>
      <c r="T9" s="49">
        <v>0.05</v>
      </c>
      <c r="U9" s="49">
        <v>0.1</v>
      </c>
      <c r="V9" s="49">
        <v>26.13</v>
      </c>
      <c r="W9" s="55">
        <v>-34199</v>
      </c>
      <c r="X9" s="49">
        <v>1050</v>
      </c>
    </row>
    <row r="10" spans="1:24" x14ac:dyDescent="0.35">
      <c r="A10" s="5"/>
      <c r="B10" s="11"/>
      <c r="C10" s="2">
        <v>5570</v>
      </c>
      <c r="D10" s="20"/>
      <c r="E10" s="23"/>
      <c r="F10" s="26"/>
      <c r="G10" s="20"/>
      <c r="H10" s="23"/>
      <c r="I10" s="26"/>
      <c r="J10" s="20"/>
      <c r="K10" s="23"/>
      <c r="L10" s="26"/>
      <c r="N10" s="50"/>
      <c r="O10" s="47">
        <v>5570</v>
      </c>
      <c r="P10" s="52"/>
      <c r="Q10" s="52"/>
      <c r="R10" s="52"/>
      <c r="S10" s="52"/>
      <c r="T10" s="52"/>
      <c r="U10" s="52"/>
      <c r="V10" s="52"/>
      <c r="W10" s="52"/>
      <c r="X10" s="52"/>
    </row>
    <row r="11" spans="1:24" x14ac:dyDescent="0.35">
      <c r="A11" s="6"/>
      <c r="B11" s="12"/>
      <c r="C11" s="2">
        <v>1500</v>
      </c>
      <c r="D11" s="21"/>
      <c r="E11" s="24"/>
      <c r="F11" s="27"/>
      <c r="G11" s="21"/>
      <c r="H11" s="24"/>
      <c r="I11" s="27"/>
      <c r="J11" s="21"/>
      <c r="K11" s="24"/>
      <c r="L11" s="27"/>
      <c r="N11" s="53"/>
      <c r="O11" s="47">
        <v>1500</v>
      </c>
      <c r="P11" s="54"/>
      <c r="Q11" s="54"/>
      <c r="R11" s="54"/>
      <c r="S11" s="54"/>
      <c r="T11" s="54"/>
      <c r="U11" s="54"/>
      <c r="V11" s="54"/>
      <c r="W11" s="54"/>
      <c r="X11" s="54"/>
    </row>
    <row r="12" spans="1:24" x14ac:dyDescent="0.35">
      <c r="A12" s="4" t="s">
        <v>9</v>
      </c>
      <c r="B12" s="10" t="s">
        <v>14</v>
      </c>
      <c r="C12" s="2">
        <v>14960</v>
      </c>
      <c r="D12" s="19">
        <v>5.6855000000000003E-2</v>
      </c>
      <c r="E12" s="22">
        <v>4.3296599999999998E-2</v>
      </c>
      <c r="F12" s="25">
        <v>1.3558426E-2</v>
      </c>
      <c r="G12" s="19">
        <v>0.05</v>
      </c>
      <c r="H12" s="22">
        <v>0.05</v>
      </c>
      <c r="I12" s="25">
        <v>0.6</v>
      </c>
      <c r="J12" s="19">
        <f t="shared" ref="J12" si="3">(G12-D12)/D12*100</f>
        <v>-12.056987072377099</v>
      </c>
      <c r="K12" s="22">
        <f t="shared" si="1"/>
        <v>15.482509019183968</v>
      </c>
      <c r="L12" s="25">
        <f t="shared" si="1"/>
        <v>4325.2924343872946</v>
      </c>
      <c r="N12" s="46" t="s">
        <v>14</v>
      </c>
      <c r="O12" s="47">
        <v>14960</v>
      </c>
      <c r="P12" s="49">
        <v>5.6855000000000003E-2</v>
      </c>
      <c r="Q12" s="49">
        <v>4.3296599999999998E-2</v>
      </c>
      <c r="R12" s="49">
        <v>1.3558426E-2</v>
      </c>
      <c r="S12" s="49">
        <v>0.05</v>
      </c>
      <c r="T12" s="49">
        <v>0.05</v>
      </c>
      <c r="U12" s="49">
        <v>0.6</v>
      </c>
      <c r="V12" s="49">
        <v>2052.5</v>
      </c>
      <c r="W12" s="49">
        <v>-2010</v>
      </c>
      <c r="X12" s="49">
        <v>-46817.599999999999</v>
      </c>
    </row>
    <row r="13" spans="1:24" x14ac:dyDescent="0.35">
      <c r="A13" s="5"/>
      <c r="B13" s="11"/>
      <c r="C13" s="2">
        <v>15000</v>
      </c>
      <c r="D13" s="20"/>
      <c r="E13" s="23"/>
      <c r="F13" s="26"/>
      <c r="G13" s="20"/>
      <c r="H13" s="23"/>
      <c r="I13" s="26"/>
      <c r="J13" s="20"/>
      <c r="K13" s="23"/>
      <c r="L13" s="26"/>
      <c r="N13" s="50"/>
      <c r="O13" s="47">
        <v>15000</v>
      </c>
      <c r="P13" s="52"/>
      <c r="Q13" s="52"/>
      <c r="R13" s="52"/>
      <c r="S13" s="52"/>
      <c r="T13" s="52"/>
      <c r="U13" s="52"/>
      <c r="V13" s="52"/>
      <c r="W13" s="52"/>
      <c r="X13" s="52"/>
    </row>
    <row r="14" spans="1:24" x14ac:dyDescent="0.35">
      <c r="A14" s="6"/>
      <c r="B14" s="12"/>
      <c r="C14" s="2">
        <v>47900</v>
      </c>
      <c r="D14" s="21"/>
      <c r="E14" s="24"/>
      <c r="F14" s="27"/>
      <c r="G14" s="21"/>
      <c r="H14" s="24"/>
      <c r="I14" s="27"/>
      <c r="J14" s="21"/>
      <c r="K14" s="24"/>
      <c r="L14" s="27"/>
      <c r="N14" s="53"/>
      <c r="O14" s="47">
        <v>47900</v>
      </c>
      <c r="P14" s="54"/>
      <c r="Q14" s="54"/>
      <c r="R14" s="54"/>
      <c r="S14" s="54"/>
      <c r="T14" s="54"/>
      <c r="U14" s="54"/>
      <c r="V14" s="54"/>
      <c r="W14" s="54"/>
      <c r="X14" s="54"/>
    </row>
    <row r="15" spans="1:24" x14ac:dyDescent="0.35">
      <c r="A15" s="4" t="s">
        <v>10</v>
      </c>
      <c r="B15" s="7" t="s">
        <v>15</v>
      </c>
      <c r="C15" s="2">
        <v>221300</v>
      </c>
      <c r="D15" s="19">
        <v>4.0268999999999999E-3</v>
      </c>
      <c r="E15" s="22">
        <v>2.7314800000000001E-3</v>
      </c>
      <c r="F15" s="25">
        <v>1.29542E-3</v>
      </c>
      <c r="G15" s="19">
        <v>3.0000000000000001E-3</v>
      </c>
      <c r="H15" s="22">
        <v>2E-3</v>
      </c>
      <c r="I15" s="25">
        <v>1E-3</v>
      </c>
      <c r="J15" s="19">
        <f t="shared" ref="J15" si="4">(G15-D15)/D15*100</f>
        <v>-25.501005736422556</v>
      </c>
      <c r="K15" s="22">
        <f t="shared" si="1"/>
        <v>-26.779621304201385</v>
      </c>
      <c r="L15" s="25">
        <f>(I15-F15)/F15*100</f>
        <v>-22.804959009433233</v>
      </c>
      <c r="N15" s="56" t="s">
        <v>15</v>
      </c>
      <c r="O15" s="47">
        <v>221300</v>
      </c>
      <c r="P15" s="49">
        <v>4.0268999999999999E-3</v>
      </c>
      <c r="Q15" s="49">
        <v>2.7314800000000001E-3</v>
      </c>
      <c r="R15" s="49">
        <v>1.29542E-3</v>
      </c>
      <c r="S15" s="49">
        <v>3.0000000000000001E-3</v>
      </c>
      <c r="T15" s="49">
        <v>2E-3</v>
      </c>
      <c r="U15" s="49">
        <v>1E-3</v>
      </c>
      <c r="V15" s="49">
        <v>95896.6</v>
      </c>
      <c r="W15" s="49">
        <v>81358.5</v>
      </c>
      <c r="X15" s="55">
        <v>138650</v>
      </c>
    </row>
    <row r="16" spans="1:24" x14ac:dyDescent="0.35">
      <c r="A16" s="5"/>
      <c r="B16" s="8"/>
      <c r="C16" s="2">
        <v>222900</v>
      </c>
      <c r="D16" s="20"/>
      <c r="E16" s="23"/>
      <c r="F16" s="26"/>
      <c r="G16" s="20"/>
      <c r="H16" s="23"/>
      <c r="I16" s="26"/>
      <c r="J16" s="20"/>
      <c r="K16" s="23"/>
      <c r="L16" s="26"/>
      <c r="N16" s="57"/>
      <c r="O16" s="47">
        <v>222900</v>
      </c>
      <c r="P16" s="52"/>
      <c r="Q16" s="52"/>
      <c r="R16" s="52"/>
      <c r="S16" s="52"/>
      <c r="T16" s="52"/>
      <c r="U16" s="52"/>
      <c r="V16" s="52"/>
      <c r="W16" s="52"/>
      <c r="X16" s="52"/>
    </row>
    <row r="17" spans="1:24" x14ac:dyDescent="0.35">
      <c r="A17" s="6"/>
      <c r="B17" s="9"/>
      <c r="C17" s="2">
        <v>470000</v>
      </c>
      <c r="D17" s="21"/>
      <c r="E17" s="24"/>
      <c r="F17" s="27"/>
      <c r="G17" s="21"/>
      <c r="H17" s="24"/>
      <c r="I17" s="27"/>
      <c r="J17" s="21"/>
      <c r="K17" s="24"/>
      <c r="L17" s="27"/>
      <c r="N17" s="58"/>
      <c r="O17" s="47">
        <v>470000</v>
      </c>
      <c r="P17" s="54"/>
      <c r="Q17" s="54"/>
      <c r="R17" s="54"/>
      <c r="S17" s="54"/>
      <c r="T17" s="54"/>
      <c r="U17" s="54"/>
      <c r="V17" s="54"/>
      <c r="W17" s="54"/>
      <c r="X17" s="54"/>
    </row>
    <row r="19" spans="1:24" x14ac:dyDescent="0.35">
      <c r="A19" s="13" t="s">
        <v>0</v>
      </c>
      <c r="B19" s="13" t="s">
        <v>1</v>
      </c>
      <c r="C19" s="13" t="s">
        <v>2</v>
      </c>
      <c r="D19" s="15" t="s">
        <v>18</v>
      </c>
      <c r="E19" s="16"/>
      <c r="F19" s="17"/>
      <c r="G19" s="15" t="s">
        <v>17</v>
      </c>
      <c r="H19" s="16"/>
      <c r="I19" s="17"/>
      <c r="J19" s="15" t="s">
        <v>20</v>
      </c>
      <c r="K19" s="16"/>
      <c r="L19" s="17"/>
      <c r="N19" s="13" t="s">
        <v>1</v>
      </c>
      <c r="O19" s="13" t="s">
        <v>2</v>
      </c>
      <c r="P19" s="15" t="s">
        <v>18</v>
      </c>
      <c r="Q19" s="16"/>
      <c r="R19" s="17"/>
      <c r="S19" s="15" t="s">
        <v>17</v>
      </c>
      <c r="T19" s="16"/>
      <c r="U19" s="17"/>
      <c r="V19" s="15" t="s">
        <v>21</v>
      </c>
      <c r="W19" s="16"/>
      <c r="X19" s="17"/>
    </row>
    <row r="20" spans="1:24" x14ac:dyDescent="0.35">
      <c r="A20" s="14"/>
      <c r="B20" s="14"/>
      <c r="C20" s="14"/>
      <c r="D20" s="3" t="s">
        <v>3</v>
      </c>
      <c r="E20" s="3" t="s">
        <v>4</v>
      </c>
      <c r="F20" s="3" t="s">
        <v>5</v>
      </c>
      <c r="G20" s="3" t="s">
        <v>3</v>
      </c>
      <c r="H20" s="3" t="s">
        <v>4</v>
      </c>
      <c r="I20" s="3" t="s">
        <v>5</v>
      </c>
      <c r="J20" s="3" t="s">
        <v>3</v>
      </c>
      <c r="K20" s="3" t="s">
        <v>4</v>
      </c>
      <c r="L20" s="3" t="s">
        <v>5</v>
      </c>
      <c r="N20" s="14"/>
      <c r="O20" s="14"/>
      <c r="P20" s="3" t="s">
        <v>3</v>
      </c>
      <c r="Q20" s="3" t="s">
        <v>4</v>
      </c>
      <c r="R20" s="3" t="s">
        <v>5</v>
      </c>
      <c r="S20" s="3" t="s">
        <v>3</v>
      </c>
      <c r="T20" s="3" t="s">
        <v>4</v>
      </c>
      <c r="U20" s="3" t="s">
        <v>5</v>
      </c>
      <c r="V20" s="3" t="s">
        <v>3</v>
      </c>
      <c r="W20" s="3" t="s">
        <v>4</v>
      </c>
      <c r="X20" s="3" t="s">
        <v>5</v>
      </c>
    </row>
    <row r="21" spans="1:24" x14ac:dyDescent="0.35">
      <c r="A21" s="4" t="s">
        <v>6</v>
      </c>
      <c r="B21" s="10" t="s">
        <v>11</v>
      </c>
      <c r="C21" s="2">
        <v>10.1</v>
      </c>
      <c r="D21" s="28">
        <v>79.09</v>
      </c>
      <c r="E21" s="37">
        <v>68.73</v>
      </c>
      <c r="F21" s="30">
        <v>10.35</v>
      </c>
      <c r="G21" s="19">
        <v>54.8</v>
      </c>
      <c r="H21" s="31">
        <v>28.6</v>
      </c>
      <c r="I21" s="25">
        <v>7</v>
      </c>
      <c r="J21" s="19">
        <f>(G21-D21)/D21*100</f>
        <v>-30.711847262612217</v>
      </c>
      <c r="K21" s="19">
        <f t="shared" ref="K21:L21" si="5">(H21-E21)/E21*100</f>
        <v>-58.387894660264806</v>
      </c>
      <c r="L21" s="19">
        <f t="shared" si="5"/>
        <v>-32.367149758454104</v>
      </c>
      <c r="N21" s="10" t="s">
        <v>11</v>
      </c>
      <c r="O21" s="2">
        <v>10.1</v>
      </c>
      <c r="P21" s="18">
        <v>79.09</v>
      </c>
      <c r="Q21" s="18">
        <v>68.73</v>
      </c>
      <c r="R21" s="18">
        <v>10.35</v>
      </c>
      <c r="S21" s="4">
        <v>54.8</v>
      </c>
      <c r="T21" s="4">
        <v>28.6</v>
      </c>
      <c r="U21" s="4">
        <v>7</v>
      </c>
      <c r="V21" s="4">
        <v>4.4767999999999999</v>
      </c>
      <c r="W21" s="4">
        <v>14.311999999999999</v>
      </c>
      <c r="X21" s="4">
        <v>32.298999999999999</v>
      </c>
    </row>
    <row r="22" spans="1:24" x14ac:dyDescent="0.35">
      <c r="A22" s="5"/>
      <c r="B22" s="11"/>
      <c r="C22" s="2">
        <v>10.199999999999999</v>
      </c>
      <c r="D22" s="28"/>
      <c r="E22" s="37"/>
      <c r="F22" s="30"/>
      <c r="G22" s="20"/>
      <c r="H22" s="32"/>
      <c r="I22" s="26"/>
      <c r="J22" s="20"/>
      <c r="K22" s="20"/>
      <c r="L22" s="20"/>
      <c r="N22" s="11"/>
      <c r="O22" s="2">
        <v>10.199999999999999</v>
      </c>
      <c r="P22" s="18"/>
      <c r="Q22" s="18"/>
      <c r="R22" s="18"/>
      <c r="S22" s="5"/>
      <c r="T22" s="5"/>
      <c r="U22" s="5"/>
      <c r="V22" s="5"/>
      <c r="W22" s="5"/>
      <c r="X22" s="5"/>
    </row>
    <row r="23" spans="1:24" x14ac:dyDescent="0.35">
      <c r="A23" s="6"/>
      <c r="B23" s="12"/>
      <c r="C23" s="2">
        <v>67.7</v>
      </c>
      <c r="D23" s="28"/>
      <c r="E23" s="37"/>
      <c r="F23" s="30"/>
      <c r="G23" s="21"/>
      <c r="H23" s="33"/>
      <c r="I23" s="27"/>
      <c r="J23" s="21"/>
      <c r="K23" s="21"/>
      <c r="L23" s="21"/>
      <c r="N23" s="12"/>
      <c r="O23" s="2">
        <v>67.7</v>
      </c>
      <c r="P23" s="18"/>
      <c r="Q23" s="18"/>
      <c r="R23" s="18"/>
      <c r="S23" s="6"/>
      <c r="T23" s="6"/>
      <c r="U23" s="6"/>
      <c r="V23" s="6"/>
      <c r="W23" s="6"/>
      <c r="X23" s="6"/>
    </row>
    <row r="24" spans="1:24" x14ac:dyDescent="0.35">
      <c r="A24" s="4" t="s">
        <v>7</v>
      </c>
      <c r="B24" s="10" t="s">
        <v>12</v>
      </c>
      <c r="C24" s="2">
        <v>325</v>
      </c>
      <c r="D24" s="19">
        <v>3.29</v>
      </c>
      <c r="E24" s="31">
        <v>1.31</v>
      </c>
      <c r="F24" s="25" t="s">
        <v>19</v>
      </c>
      <c r="G24" s="19">
        <v>3.08</v>
      </c>
      <c r="H24" s="31">
        <v>1.23</v>
      </c>
      <c r="I24" s="25">
        <v>1.83</v>
      </c>
      <c r="J24" s="19">
        <f t="shared" ref="J24:L33" si="6">(G24-D24)/D24*100</f>
        <v>-6.3829787234042552</v>
      </c>
      <c r="K24" s="19">
        <f t="shared" si="6"/>
        <v>-6.1068702290076393</v>
      </c>
      <c r="L24" s="19" t="e">
        <f t="shared" si="6"/>
        <v>#VALUE!</v>
      </c>
      <c r="N24" s="10" t="s">
        <v>12</v>
      </c>
      <c r="O24" s="2">
        <v>325</v>
      </c>
      <c r="P24" s="4">
        <v>3.29</v>
      </c>
      <c r="Q24" s="4">
        <v>1.31</v>
      </c>
      <c r="R24" s="4" t="s">
        <v>19</v>
      </c>
      <c r="S24" s="4">
        <v>3.08</v>
      </c>
      <c r="T24" s="4">
        <v>1.23</v>
      </c>
      <c r="U24" s="4">
        <v>1.83</v>
      </c>
      <c r="V24" s="4">
        <v>22.158999999999999</v>
      </c>
      <c r="W24" s="4">
        <v>287.29000000000002</v>
      </c>
      <c r="X24" s="4">
        <v>17.852</v>
      </c>
    </row>
    <row r="25" spans="1:24" x14ac:dyDescent="0.35">
      <c r="A25" s="5"/>
      <c r="B25" s="11"/>
      <c r="C25" s="2">
        <v>327.2</v>
      </c>
      <c r="D25" s="20"/>
      <c r="E25" s="32"/>
      <c r="F25" s="26"/>
      <c r="G25" s="20"/>
      <c r="H25" s="32"/>
      <c r="I25" s="26"/>
      <c r="J25" s="20"/>
      <c r="K25" s="20"/>
      <c r="L25" s="20"/>
      <c r="N25" s="11"/>
      <c r="O25" s="2">
        <v>327.2</v>
      </c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35">
      <c r="A26" s="6"/>
      <c r="B26" s="12"/>
      <c r="C26" s="2">
        <v>217.8</v>
      </c>
      <c r="D26" s="21"/>
      <c r="E26" s="33"/>
      <c r="F26" s="27"/>
      <c r="G26" s="21"/>
      <c r="H26" s="33"/>
      <c r="I26" s="27"/>
      <c r="J26" s="21"/>
      <c r="K26" s="21"/>
      <c r="L26" s="21"/>
      <c r="N26" s="12"/>
      <c r="O26" s="2">
        <v>217.8</v>
      </c>
      <c r="P26" s="6"/>
      <c r="Q26" s="6"/>
      <c r="R26" s="6"/>
      <c r="S26" s="6"/>
      <c r="T26" s="6"/>
      <c r="U26" s="6"/>
      <c r="V26" s="6"/>
      <c r="W26" s="6"/>
      <c r="X26" s="6"/>
    </row>
    <row r="27" spans="1:24" x14ac:dyDescent="0.35">
      <c r="A27" s="4" t="s">
        <v>8</v>
      </c>
      <c r="B27" s="10" t="s">
        <v>13</v>
      </c>
      <c r="C27" s="2">
        <v>5600</v>
      </c>
      <c r="D27" s="19">
        <v>0.22</v>
      </c>
      <c r="E27" s="31">
        <v>4.6926000000000002E-2</v>
      </c>
      <c r="F27" s="25">
        <v>0.17</v>
      </c>
      <c r="G27" s="19">
        <v>0.18</v>
      </c>
      <c r="H27" s="31">
        <v>0.06</v>
      </c>
      <c r="I27" s="25">
        <v>0.11</v>
      </c>
      <c r="J27" s="19">
        <f t="shared" ref="J27" si="7">(G27-D27)/D27*100</f>
        <v>-18.181818181818183</v>
      </c>
      <c r="K27" s="19">
        <f t="shared" si="6"/>
        <v>27.86088735455823</v>
      </c>
      <c r="L27" s="19">
        <f t="shared" si="6"/>
        <v>-35.294117647058826</v>
      </c>
      <c r="N27" s="10" t="s">
        <v>13</v>
      </c>
      <c r="O27" s="2">
        <v>5600</v>
      </c>
      <c r="P27" s="4">
        <v>0.22</v>
      </c>
      <c r="Q27" s="4">
        <v>4.6926000000000002E-2</v>
      </c>
      <c r="R27" s="4">
        <v>0.17</v>
      </c>
      <c r="S27" s="4">
        <v>0.18</v>
      </c>
      <c r="T27" s="4">
        <v>0.06</v>
      </c>
      <c r="U27" s="4">
        <v>0.11</v>
      </c>
      <c r="V27" s="38">
        <v>1244.44</v>
      </c>
      <c r="W27" s="4">
        <v>-1213.3309999999999</v>
      </c>
      <c r="X27" s="4">
        <v>818.18179999999995</v>
      </c>
    </row>
    <row r="28" spans="1:24" x14ac:dyDescent="0.35">
      <c r="A28" s="5"/>
      <c r="B28" s="11"/>
      <c r="C28" s="2">
        <v>5570</v>
      </c>
      <c r="D28" s="20"/>
      <c r="E28" s="32"/>
      <c r="F28" s="26"/>
      <c r="G28" s="20"/>
      <c r="H28" s="32"/>
      <c r="I28" s="26"/>
      <c r="J28" s="20"/>
      <c r="K28" s="20"/>
      <c r="L28" s="20"/>
      <c r="N28" s="11"/>
      <c r="O28" s="2">
        <v>5570</v>
      </c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35">
      <c r="A29" s="6"/>
      <c r="B29" s="12"/>
      <c r="C29" s="2">
        <v>1500</v>
      </c>
      <c r="D29" s="21"/>
      <c r="E29" s="33"/>
      <c r="F29" s="27"/>
      <c r="G29" s="21"/>
      <c r="H29" s="33"/>
      <c r="I29" s="27"/>
      <c r="J29" s="21"/>
      <c r="K29" s="21"/>
      <c r="L29" s="21"/>
      <c r="N29" s="12"/>
      <c r="O29" s="2">
        <v>1500</v>
      </c>
      <c r="P29" s="6"/>
      <c r="Q29" s="6"/>
      <c r="R29" s="6"/>
      <c r="S29" s="6"/>
      <c r="T29" s="6"/>
      <c r="U29" s="6"/>
      <c r="V29" s="6"/>
      <c r="W29" s="6"/>
      <c r="X29" s="6"/>
    </row>
    <row r="30" spans="1:24" x14ac:dyDescent="0.35">
      <c r="A30" s="4" t="s">
        <v>9</v>
      </c>
      <c r="B30" s="10" t="s">
        <v>14</v>
      </c>
      <c r="C30" s="2">
        <v>14960</v>
      </c>
      <c r="D30" s="19">
        <v>5.6855000000000003E-2</v>
      </c>
      <c r="E30" s="31">
        <v>4.3296599999999998E-2</v>
      </c>
      <c r="F30" s="25">
        <v>1.3558426E-2</v>
      </c>
      <c r="G30" s="19">
        <v>0.05</v>
      </c>
      <c r="H30" s="31">
        <v>0.03</v>
      </c>
      <c r="I30" s="25">
        <v>0.01</v>
      </c>
      <c r="J30" s="19">
        <f t="shared" ref="J30" si="8">(G30-D30)/D30*100</f>
        <v>-12.056987072377099</v>
      </c>
      <c r="K30" s="19">
        <f t="shared" si="6"/>
        <v>-30.710494588489627</v>
      </c>
      <c r="L30" s="19">
        <f t="shared" si="6"/>
        <v>-26.245126093545075</v>
      </c>
      <c r="N30" s="10" t="s">
        <v>14</v>
      </c>
      <c r="O30" s="2">
        <v>14960</v>
      </c>
      <c r="P30" s="4">
        <v>5.6855000000000003E-2</v>
      </c>
      <c r="Q30" s="4">
        <v>4.3296599999999998E-2</v>
      </c>
      <c r="R30" s="4">
        <v>1.3558426E-2</v>
      </c>
      <c r="S30" s="4">
        <v>0.05</v>
      </c>
      <c r="T30" s="4">
        <v>0.03</v>
      </c>
      <c r="U30" s="4">
        <v>0.01</v>
      </c>
      <c r="V30" s="4">
        <v>2052.5100000000002</v>
      </c>
      <c r="W30" s="4">
        <v>6650</v>
      </c>
      <c r="X30" s="38">
        <v>17042.8</v>
      </c>
    </row>
    <row r="31" spans="1:24" x14ac:dyDescent="0.35">
      <c r="A31" s="5"/>
      <c r="B31" s="11"/>
      <c r="C31" s="2">
        <v>15000</v>
      </c>
      <c r="D31" s="20"/>
      <c r="E31" s="32"/>
      <c r="F31" s="26"/>
      <c r="G31" s="20"/>
      <c r="H31" s="32"/>
      <c r="I31" s="26"/>
      <c r="J31" s="20"/>
      <c r="K31" s="20"/>
      <c r="L31" s="20"/>
      <c r="N31" s="11"/>
      <c r="O31" s="2">
        <v>15000</v>
      </c>
      <c r="P31" s="5"/>
      <c r="Q31" s="5"/>
      <c r="R31" s="5"/>
      <c r="S31" s="5"/>
      <c r="T31" s="5"/>
      <c r="U31" s="5"/>
      <c r="V31" s="5"/>
      <c r="W31" s="5"/>
      <c r="X31" s="5"/>
    </row>
    <row r="32" spans="1:24" x14ac:dyDescent="0.35">
      <c r="A32" s="6"/>
      <c r="B32" s="12"/>
      <c r="C32" s="2">
        <v>47900</v>
      </c>
      <c r="D32" s="21"/>
      <c r="E32" s="33"/>
      <c r="F32" s="27"/>
      <c r="G32" s="21"/>
      <c r="H32" s="33"/>
      <c r="I32" s="27"/>
      <c r="J32" s="21"/>
      <c r="K32" s="21"/>
      <c r="L32" s="21"/>
      <c r="N32" s="12"/>
      <c r="O32" s="2">
        <v>47900</v>
      </c>
      <c r="P32" s="6"/>
      <c r="Q32" s="6"/>
      <c r="R32" s="6"/>
      <c r="S32" s="6"/>
      <c r="T32" s="6"/>
      <c r="U32" s="6"/>
      <c r="V32" s="6"/>
      <c r="W32" s="6"/>
      <c r="X32" s="6"/>
    </row>
    <row r="33" spans="1:24" x14ac:dyDescent="0.35">
      <c r="A33" s="4" t="s">
        <v>10</v>
      </c>
      <c r="B33" s="7" t="s">
        <v>15</v>
      </c>
      <c r="C33" s="2">
        <v>221300</v>
      </c>
      <c r="D33" s="19">
        <v>4.0268999999999999E-3</v>
      </c>
      <c r="E33" s="31">
        <v>2.7314800000000001E-3</v>
      </c>
      <c r="F33" s="25">
        <v>1.29542E-3</v>
      </c>
      <c r="G33" s="19">
        <v>3.8E-3</v>
      </c>
      <c r="H33" s="31">
        <v>2.5000000000000001E-3</v>
      </c>
      <c r="I33" s="25">
        <v>1.1000000000000001E-3</v>
      </c>
      <c r="J33" s="19">
        <f t="shared" ref="J33" si="9">(G33-D33)/D33*100</f>
        <v>-5.6346072661352391</v>
      </c>
      <c r="K33" s="19">
        <f t="shared" si="6"/>
        <v>-8.4745266302517326</v>
      </c>
      <c r="L33" s="19">
        <f t="shared" si="6"/>
        <v>-15.085454910376555</v>
      </c>
      <c r="N33" s="7" t="s">
        <v>15</v>
      </c>
      <c r="O33" s="2">
        <v>221300</v>
      </c>
      <c r="P33" s="4">
        <v>4.0268999999999999E-3</v>
      </c>
      <c r="Q33" s="4">
        <v>2.7314800000000001E-3</v>
      </c>
      <c r="R33" s="4">
        <v>1.29542E-3</v>
      </c>
      <c r="S33" s="4">
        <v>3.8E-3</v>
      </c>
      <c r="T33" s="4">
        <v>2.5000000000000001E-3</v>
      </c>
      <c r="U33" s="4">
        <v>1.1000000000000001E-3</v>
      </c>
      <c r="V33" s="38" t="s">
        <v>22</v>
      </c>
      <c r="W33" s="39">
        <v>-20061</v>
      </c>
      <c r="X33" s="38">
        <v>83318.2</v>
      </c>
    </row>
    <row r="34" spans="1:24" x14ac:dyDescent="0.35">
      <c r="A34" s="5"/>
      <c r="B34" s="8"/>
      <c r="C34" s="2">
        <v>222900</v>
      </c>
      <c r="D34" s="20"/>
      <c r="E34" s="32"/>
      <c r="F34" s="26"/>
      <c r="G34" s="20"/>
      <c r="H34" s="32"/>
      <c r="I34" s="26"/>
      <c r="J34" s="20"/>
      <c r="K34" s="20"/>
      <c r="L34" s="20"/>
      <c r="N34" s="8"/>
      <c r="O34" s="2">
        <v>222900</v>
      </c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35">
      <c r="A35" s="6"/>
      <c r="B35" s="9"/>
      <c r="C35" s="2">
        <v>470000</v>
      </c>
      <c r="D35" s="21"/>
      <c r="E35" s="33"/>
      <c r="F35" s="27"/>
      <c r="G35" s="21"/>
      <c r="H35" s="33"/>
      <c r="I35" s="27"/>
      <c r="J35" s="21"/>
      <c r="K35" s="21"/>
      <c r="L35" s="21"/>
      <c r="N35" s="9"/>
      <c r="O35" s="2">
        <v>470000</v>
      </c>
      <c r="P35" s="6"/>
      <c r="Q35" s="6"/>
      <c r="R35" s="6"/>
      <c r="S35" s="6"/>
      <c r="T35" s="6"/>
      <c r="U35" s="6"/>
      <c r="V35" s="6"/>
      <c r="W35" s="6"/>
      <c r="X35" s="6"/>
    </row>
  </sheetData>
  <mergeCells count="232">
    <mergeCell ref="J30:J32"/>
    <mergeCell ref="K30:K32"/>
    <mergeCell ref="L30:L32"/>
    <mergeCell ref="J33:J35"/>
    <mergeCell ref="K33:K35"/>
    <mergeCell ref="L33:L35"/>
    <mergeCell ref="J24:J26"/>
    <mergeCell ref="K24:K26"/>
    <mergeCell ref="L24:L26"/>
    <mergeCell ref="J27:J29"/>
    <mergeCell ref="K27:K29"/>
    <mergeCell ref="L27:L29"/>
    <mergeCell ref="J15:J17"/>
    <mergeCell ref="K15:K17"/>
    <mergeCell ref="L15:L17"/>
    <mergeCell ref="J19:L19"/>
    <mergeCell ref="J21:J23"/>
    <mergeCell ref="K21:K23"/>
    <mergeCell ref="L21:L23"/>
    <mergeCell ref="J9:J11"/>
    <mergeCell ref="K9:K11"/>
    <mergeCell ref="L9:L11"/>
    <mergeCell ref="J12:J14"/>
    <mergeCell ref="K12:K14"/>
    <mergeCell ref="L12:L14"/>
    <mergeCell ref="J1:L1"/>
    <mergeCell ref="J3:J5"/>
    <mergeCell ref="K3:K5"/>
    <mergeCell ref="L3:L5"/>
    <mergeCell ref="J6:J8"/>
    <mergeCell ref="K6:K8"/>
    <mergeCell ref="L6:L8"/>
    <mergeCell ref="A30:A32"/>
    <mergeCell ref="B30:B32"/>
    <mergeCell ref="D30:D32"/>
    <mergeCell ref="E30:E32"/>
    <mergeCell ref="F30:F32"/>
    <mergeCell ref="A19:A20"/>
    <mergeCell ref="B19:B20"/>
    <mergeCell ref="C19:C20"/>
    <mergeCell ref="D19:F19"/>
    <mergeCell ref="A21:A23"/>
    <mergeCell ref="B21:B23"/>
    <mergeCell ref="D21:D23"/>
    <mergeCell ref="E21:E23"/>
    <mergeCell ref="F21:F23"/>
    <mergeCell ref="H27:H29"/>
    <mergeCell ref="I27:I29"/>
    <mergeCell ref="G30:G32"/>
    <mergeCell ref="A33:A35"/>
    <mergeCell ref="B33:B35"/>
    <mergeCell ref="D33:D35"/>
    <mergeCell ref="E33:E35"/>
    <mergeCell ref="F33:F35"/>
    <mergeCell ref="A24:A26"/>
    <mergeCell ref="B24:B26"/>
    <mergeCell ref="D24:D26"/>
    <mergeCell ref="E24:E26"/>
    <mergeCell ref="F24:F26"/>
    <mergeCell ref="A27:A29"/>
    <mergeCell ref="B27:B29"/>
    <mergeCell ref="D27:D29"/>
    <mergeCell ref="E27:E29"/>
    <mergeCell ref="F27:F29"/>
    <mergeCell ref="H30:H32"/>
    <mergeCell ref="F15:F17"/>
    <mergeCell ref="G3:G5"/>
    <mergeCell ref="H3:H5"/>
    <mergeCell ref="G19:I19"/>
    <mergeCell ref="I30:I32"/>
    <mergeCell ref="G33:G35"/>
    <mergeCell ref="H33:H35"/>
    <mergeCell ref="I33:I35"/>
    <mergeCell ref="H12:H14"/>
    <mergeCell ref="I12:I14"/>
    <mergeCell ref="G15:G17"/>
    <mergeCell ref="H15:H17"/>
    <mergeCell ref="I15:I17"/>
    <mergeCell ref="G24:G26"/>
    <mergeCell ref="G27:G29"/>
    <mergeCell ref="G21:G23"/>
    <mergeCell ref="H21:H23"/>
    <mergeCell ref="I21:I23"/>
    <mergeCell ref="H24:H26"/>
    <mergeCell ref="I24:I26"/>
    <mergeCell ref="A1:A2"/>
    <mergeCell ref="B1:B2"/>
    <mergeCell ref="C1:C2"/>
    <mergeCell ref="D1:F1"/>
    <mergeCell ref="G1:I1"/>
    <mergeCell ref="D6:D8"/>
    <mergeCell ref="E6:E8"/>
    <mergeCell ref="F6:F8"/>
    <mergeCell ref="A3:A5"/>
    <mergeCell ref="A6:A8"/>
    <mergeCell ref="D3:D5"/>
    <mergeCell ref="E3:E5"/>
    <mergeCell ref="F3:F5"/>
    <mergeCell ref="A15:A17"/>
    <mergeCell ref="B3:B5"/>
    <mergeCell ref="B6:B8"/>
    <mergeCell ref="B9:B11"/>
    <mergeCell ref="B12:B14"/>
    <mergeCell ref="B15:B17"/>
    <mergeCell ref="G6:G8"/>
    <mergeCell ref="H6:H8"/>
    <mergeCell ref="I6:I8"/>
    <mergeCell ref="D15:D17"/>
    <mergeCell ref="E15:E17"/>
    <mergeCell ref="I3:I5"/>
    <mergeCell ref="G9:G11"/>
    <mergeCell ref="H9:H11"/>
    <mergeCell ref="I9:I11"/>
    <mergeCell ref="G12:G14"/>
    <mergeCell ref="F9:F11"/>
    <mergeCell ref="A9:A11"/>
    <mergeCell ref="A12:A14"/>
    <mergeCell ref="E9:E11"/>
    <mergeCell ref="D9:D11"/>
    <mergeCell ref="D12:D14"/>
    <mergeCell ref="E12:E14"/>
    <mergeCell ref="F12:F14"/>
    <mergeCell ref="N12:N14"/>
    <mergeCell ref="P12:P14"/>
    <mergeCell ref="N15:N17"/>
    <mergeCell ref="P15:P17"/>
    <mergeCell ref="N1:N2"/>
    <mergeCell ref="O1:O2"/>
    <mergeCell ref="P1:R1"/>
    <mergeCell ref="Q6:Q8"/>
    <mergeCell ref="R6:R8"/>
    <mergeCell ref="Q12:Q14"/>
    <mergeCell ref="R12:R14"/>
    <mergeCell ref="N3:N5"/>
    <mergeCell ref="P3:P5"/>
    <mergeCell ref="N6:N8"/>
    <mergeCell ref="P6:P8"/>
    <mergeCell ref="N9:N11"/>
    <mergeCell ref="P9:P11"/>
    <mergeCell ref="S1:U1"/>
    <mergeCell ref="V1:X1"/>
    <mergeCell ref="Q3:Q5"/>
    <mergeCell ref="R3:R5"/>
    <mergeCell ref="S3:S5"/>
    <mergeCell ref="T3:T5"/>
    <mergeCell ref="U3:U5"/>
    <mergeCell ref="V3:V5"/>
    <mergeCell ref="W3:W5"/>
    <mergeCell ref="X3:X5"/>
    <mergeCell ref="S6:S8"/>
    <mergeCell ref="T6:T8"/>
    <mergeCell ref="U6:U8"/>
    <mergeCell ref="V6:V8"/>
    <mergeCell ref="W6:W8"/>
    <mergeCell ref="X6:X8"/>
    <mergeCell ref="Q9:Q11"/>
    <mergeCell ref="R9:R11"/>
    <mergeCell ref="S9:S11"/>
    <mergeCell ref="T9:T11"/>
    <mergeCell ref="U9:U11"/>
    <mergeCell ref="V9:V11"/>
    <mergeCell ref="W9:W11"/>
    <mergeCell ref="X9:X11"/>
    <mergeCell ref="S12:S14"/>
    <mergeCell ref="T12:T14"/>
    <mergeCell ref="U12:U14"/>
    <mergeCell ref="V12:V14"/>
    <mergeCell ref="W12:W14"/>
    <mergeCell ref="X12:X14"/>
    <mergeCell ref="Q15:Q17"/>
    <mergeCell ref="R15:R17"/>
    <mergeCell ref="S15:S17"/>
    <mergeCell ref="T15:T17"/>
    <mergeCell ref="U15:U17"/>
    <mergeCell ref="V15:V17"/>
    <mergeCell ref="W15:W17"/>
    <mergeCell ref="X15:X17"/>
    <mergeCell ref="N19:N20"/>
    <mergeCell ref="O19:O20"/>
    <mergeCell ref="P19:R19"/>
    <mergeCell ref="S19:U19"/>
    <mergeCell ref="V19:X19"/>
    <mergeCell ref="N21:N23"/>
    <mergeCell ref="P21:P23"/>
    <mergeCell ref="Q21:Q23"/>
    <mergeCell ref="R21:R23"/>
    <mergeCell ref="S21:S23"/>
    <mergeCell ref="T21:T23"/>
    <mergeCell ref="U21:U23"/>
    <mergeCell ref="V21:V23"/>
    <mergeCell ref="W21:W23"/>
    <mergeCell ref="X21:X23"/>
    <mergeCell ref="X24:X26"/>
    <mergeCell ref="N27:N29"/>
    <mergeCell ref="P27:P29"/>
    <mergeCell ref="Q27:Q29"/>
    <mergeCell ref="R27:R29"/>
    <mergeCell ref="S27:S29"/>
    <mergeCell ref="T27:T29"/>
    <mergeCell ref="U27:U29"/>
    <mergeCell ref="V27:V29"/>
    <mergeCell ref="W27:W29"/>
    <mergeCell ref="X27:X29"/>
    <mergeCell ref="N24:N26"/>
    <mergeCell ref="P24:P26"/>
    <mergeCell ref="Q24:Q26"/>
    <mergeCell ref="R24:R26"/>
    <mergeCell ref="S24:S26"/>
    <mergeCell ref="T24:T26"/>
    <mergeCell ref="U24:U26"/>
    <mergeCell ref="V24:V26"/>
    <mergeCell ref="W24:W26"/>
    <mergeCell ref="X30:X32"/>
    <mergeCell ref="N33:N35"/>
    <mergeCell ref="P33:P35"/>
    <mergeCell ref="Q33:Q35"/>
    <mergeCell ref="R33:R35"/>
    <mergeCell ref="S33:S35"/>
    <mergeCell ref="T33:T35"/>
    <mergeCell ref="U33:U35"/>
    <mergeCell ref="V33:V35"/>
    <mergeCell ref="W33:W35"/>
    <mergeCell ref="X33:X35"/>
    <mergeCell ref="N30:N32"/>
    <mergeCell ref="P30:P32"/>
    <mergeCell ref="Q30:Q32"/>
    <mergeCell ref="R30:R32"/>
    <mergeCell ref="S30:S32"/>
    <mergeCell ref="T30:T32"/>
    <mergeCell ref="U30:U32"/>
    <mergeCell ref="V30:V32"/>
    <mergeCell ref="W30:W3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DEVITA</dc:creator>
  <cp:lastModifiedBy>acer.sn00c20424c123400@outlook.com</cp:lastModifiedBy>
  <dcterms:created xsi:type="dcterms:W3CDTF">2022-09-23T04:16:54Z</dcterms:created>
  <dcterms:modified xsi:type="dcterms:W3CDTF">2022-09-27T15:27:07Z</dcterms:modified>
</cp:coreProperties>
</file>