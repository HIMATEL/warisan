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VITA\Downloads\"/>
    </mc:Choice>
  </mc:AlternateContent>
  <xr:revisionPtr revIDLastSave="0" documentId="13_ncr:1_{970ABECC-E9E1-4A33-8910-4CEB7166DE75}" xr6:coauthVersionLast="47" xr6:coauthVersionMax="47" xr10:uidLastSave="{00000000-0000-0000-0000-000000000000}"/>
  <bookViews>
    <workbookView xWindow="11100" yWindow="400" windowWidth="8100" windowHeight="7270" activeTab="1" xr2:uid="{00000000-000D-0000-FFFF-FFFF00000000}"/>
  </bookViews>
  <sheets>
    <sheet name="Sheet4" sheetId="4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3" i="1" l="1"/>
  <c r="I33" i="1"/>
  <c r="H34" i="1"/>
  <c r="I34" i="1"/>
  <c r="E46" i="1"/>
  <c r="Q36" i="1"/>
  <c r="B45" i="1"/>
  <c r="M35" i="1"/>
  <c r="L35" i="1"/>
  <c r="K35" i="1"/>
  <c r="J35" i="1"/>
  <c r="I35" i="1"/>
  <c r="H35" i="1"/>
  <c r="E45" i="1"/>
  <c r="D46" i="1"/>
  <c r="D45" i="1"/>
  <c r="C46" i="1"/>
  <c r="C45" i="1"/>
  <c r="B46" i="1"/>
  <c r="M34" i="1"/>
  <c r="L34" i="1"/>
  <c r="K34" i="1"/>
  <c r="J34" i="1"/>
  <c r="M33" i="1"/>
  <c r="L33" i="1"/>
  <c r="K33" i="1"/>
  <c r="J33" i="1"/>
  <c r="E3" i="4"/>
  <c r="F3" i="4" s="1"/>
  <c r="G3" i="4" s="1"/>
  <c r="E4" i="4"/>
  <c r="F4" i="4" s="1"/>
  <c r="G4" i="4" s="1"/>
  <c r="E5" i="4"/>
  <c r="F5" i="4" s="1"/>
  <c r="G5" i="4" s="1"/>
  <c r="E6" i="4"/>
  <c r="F6" i="4" s="1"/>
  <c r="G6" i="4" s="1"/>
  <c r="E7" i="4"/>
  <c r="F7" i="4" s="1"/>
  <c r="G7" i="4" s="1"/>
  <c r="E8" i="4"/>
  <c r="F8" i="4" s="1"/>
  <c r="G8" i="4" s="1"/>
  <c r="E9" i="4"/>
  <c r="F9" i="4" s="1"/>
  <c r="G9" i="4" s="1"/>
  <c r="E10" i="4"/>
  <c r="F10" i="4" s="1"/>
  <c r="G10" i="4" s="1"/>
  <c r="E11" i="4"/>
  <c r="F11" i="4" s="1"/>
  <c r="G11" i="4" s="1"/>
  <c r="E2" i="4"/>
  <c r="F2" i="4" s="1"/>
  <c r="G2" i="4" s="1"/>
  <c r="J5" i="4" l="1"/>
</calcChain>
</file>

<file path=xl/sharedStrings.xml><?xml version="1.0" encoding="utf-8"?>
<sst xmlns="http://schemas.openxmlformats.org/spreadsheetml/2006/main" count="58" uniqueCount="53">
  <si>
    <t>No.</t>
  </si>
  <si>
    <t>30 R (Ω)</t>
  </si>
  <si>
    <t>25 R (Ω)</t>
  </si>
  <si>
    <t>20 R (Ω)</t>
  </si>
  <si>
    <t>15R (Ω)</t>
  </si>
  <si>
    <t>10 R (Ω)</t>
  </si>
  <si>
    <t>5 R (Ω)</t>
  </si>
  <si>
    <t>Warna Resistor</t>
  </si>
  <si>
    <t>Nominal</t>
  </si>
  <si>
    <t>HP Ohm Meter Analog</t>
  </si>
  <si>
    <t>HP Ohm Meter Digital</t>
  </si>
  <si>
    <t>Jingga, Jingga, Cokelat, Emas</t>
  </si>
  <si>
    <r>
      <t>33.10</t>
    </r>
    <r>
      <rPr>
        <vertAlign val="superscript"/>
        <sz val="12"/>
        <rFont val="Times New Roman"/>
        <family val="1"/>
      </rPr>
      <t xml:space="preserve">1  </t>
    </r>
    <r>
      <rPr>
        <sz val="12"/>
        <rFont val="Times New Roman"/>
        <family val="1"/>
      </rPr>
      <t>± 5%</t>
    </r>
  </si>
  <si>
    <t>Biru, Hitam, Hijau. Emas</t>
  </si>
  <si>
    <r>
      <t>68.10</t>
    </r>
    <r>
      <rPr>
        <vertAlign val="superscript"/>
        <sz val="12"/>
        <rFont val="Times New Roman"/>
        <family val="1"/>
      </rPr>
      <t xml:space="preserve">0  </t>
    </r>
    <r>
      <rPr>
        <sz val="12"/>
        <rFont val="Times New Roman"/>
        <family val="1"/>
      </rPr>
      <t>± 5%</t>
    </r>
  </si>
  <si>
    <t>Cokelat, Hijau, Hitam, Emas</t>
  </si>
  <si>
    <r>
      <t>10.10</t>
    </r>
    <r>
      <rPr>
        <vertAlign val="superscript"/>
        <sz val="12"/>
        <rFont val="Times New Roman"/>
        <family val="1"/>
      </rPr>
      <t xml:space="preserve">5  </t>
    </r>
    <r>
      <rPr>
        <sz val="12"/>
        <rFont val="Times New Roman"/>
        <family val="1"/>
      </rPr>
      <t>± 5%</t>
    </r>
  </si>
  <si>
    <t>990 k Ω</t>
  </si>
  <si>
    <t>Hiijau, Biru, Hitam, Emas</t>
  </si>
  <si>
    <r>
      <t>56.10</t>
    </r>
    <r>
      <rPr>
        <vertAlign val="superscript"/>
        <sz val="12"/>
        <rFont val="Times New Roman"/>
        <family val="1"/>
      </rPr>
      <t xml:space="preserve">0  </t>
    </r>
    <r>
      <rPr>
        <sz val="12"/>
        <rFont val="Times New Roman"/>
        <family val="1"/>
      </rPr>
      <t>± 5%</t>
    </r>
  </si>
  <si>
    <t>54,9 Ω</t>
  </si>
  <si>
    <t>Cokelat, Hitam, Cokelat, Emas</t>
  </si>
  <si>
    <r>
      <t>10.10</t>
    </r>
    <r>
      <rPr>
        <vertAlign val="superscript"/>
        <sz val="12"/>
        <rFont val="Times New Roman"/>
        <family val="1"/>
      </rPr>
      <t xml:space="preserve">1  </t>
    </r>
    <r>
      <rPr>
        <sz val="12"/>
        <rFont val="Times New Roman"/>
        <family val="1"/>
      </rPr>
      <t>± 5%</t>
    </r>
  </si>
  <si>
    <t>975 Ω</t>
  </si>
  <si>
    <t>Jingga, Putih, Jingga, Emas</t>
  </si>
  <si>
    <r>
      <t>39.10</t>
    </r>
    <r>
      <rPr>
        <vertAlign val="superscript"/>
        <sz val="12"/>
        <rFont val="Times New Roman"/>
        <family val="1"/>
      </rPr>
      <t xml:space="preserve">3  </t>
    </r>
    <r>
      <rPr>
        <sz val="12"/>
        <rFont val="Times New Roman"/>
        <family val="1"/>
      </rPr>
      <t>± 5%</t>
    </r>
  </si>
  <si>
    <t>38,5k Ω</t>
  </si>
  <si>
    <t>Merah, Merah, Merah, Emas</t>
  </si>
  <si>
    <r>
      <t>22.10</t>
    </r>
    <r>
      <rPr>
        <vertAlign val="superscript"/>
        <sz val="12"/>
        <rFont val="Times New Roman"/>
        <family val="1"/>
      </rPr>
      <t xml:space="preserve">2  </t>
    </r>
    <r>
      <rPr>
        <sz val="12"/>
        <rFont val="Times New Roman"/>
        <family val="1"/>
      </rPr>
      <t>± 5%</t>
    </r>
  </si>
  <si>
    <t>2290 Ω</t>
  </si>
  <si>
    <t>Cokelat, Hijau, Hijau, Emas</t>
  </si>
  <si>
    <r>
      <t>10.10</t>
    </r>
    <r>
      <rPr>
        <vertAlign val="superscript"/>
        <sz val="12"/>
        <rFont val="Times New Roman"/>
        <family val="1"/>
      </rPr>
      <t xml:space="preserve">0 </t>
    </r>
    <r>
      <rPr>
        <sz val="12"/>
        <rFont val="Times New Roman"/>
        <family val="1"/>
      </rPr>
      <t>± 5</t>
    </r>
  </si>
  <si>
    <t>10,4 Ω</t>
  </si>
  <si>
    <r>
      <t>15.10</t>
    </r>
    <r>
      <rPr>
        <vertAlign val="superscript"/>
        <sz val="12"/>
        <rFont val="Times New Roman"/>
        <family val="1"/>
      </rPr>
      <t xml:space="preserve">1  </t>
    </r>
    <r>
      <rPr>
        <sz val="12"/>
        <rFont val="Times New Roman"/>
        <family val="1"/>
      </rPr>
      <t>± 5%</t>
    </r>
  </si>
  <si>
    <t>148,7 Ω</t>
  </si>
  <si>
    <t>Cokelat, Hijau, Cokelat, Emas</t>
  </si>
  <si>
    <t>99 Ω</t>
  </si>
  <si>
    <t>x-</t>
  </si>
  <si>
    <t>xi-x-</t>
  </si>
  <si>
    <t>(xi-x)^2</t>
  </si>
  <si>
    <t>standar deviasai =sqrt</t>
  </si>
  <si>
    <t>variansi: =</t>
  </si>
  <si>
    <t>No</t>
  </si>
  <si>
    <t>10 Buah Resistor Multimeter Analog</t>
  </si>
  <si>
    <t>10 Buah Resistor Multimeter Digital</t>
  </si>
  <si>
    <t>R real (Ω)</t>
  </si>
  <si>
    <t>Error (%)</t>
  </si>
  <si>
    <t>0.000212</t>
  </si>
  <si>
    <t>Deviasi</t>
  </si>
  <si>
    <t>Rata Rata</t>
  </si>
  <si>
    <t>Mean</t>
  </si>
  <si>
    <t>Dev</t>
  </si>
  <si>
    <t>eror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</si>
</sst>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0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7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I11" sqref="I11"/>
    </sheetView>
  </sheetViews>
  <sheetFormatPr defaultRowHeight="14.5" x14ac:dyDescent="0.35"/>
  <cols>
    <col min="2" max="2" width="24.453125" customWidth="1"/>
    <col min="3" max="3" width="12.453125" customWidth="1"/>
    <col min="4" max="4" width="18.7265625" customWidth="1"/>
    <col min="5" max="5" width="17.54296875" customWidth="1"/>
    <col min="6" max="6" width="14.81640625" customWidth="1"/>
    <col min="7" max="7" width="13.1796875" customWidth="1"/>
    <col min="8" max="8" width="16.7265625" customWidth="1"/>
  </cols>
  <sheetData>
    <row r="1" spans="1:10" ht="30.5" thickBot="1" x14ac:dyDescent="0.4">
      <c r="A1" s="8" t="s">
        <v>0</v>
      </c>
      <c r="B1" s="9" t="s">
        <v>7</v>
      </c>
      <c r="C1" s="9" t="s">
        <v>8</v>
      </c>
      <c r="D1" s="9" t="s">
        <v>9</v>
      </c>
      <c r="E1" s="9" t="s">
        <v>37</v>
      </c>
      <c r="F1" s="9" t="s">
        <v>38</v>
      </c>
      <c r="G1" s="9" t="s">
        <v>39</v>
      </c>
      <c r="H1" s="9" t="s">
        <v>10</v>
      </c>
    </row>
    <row r="2" spans="1:10" ht="31.5" thickBot="1" x14ac:dyDescent="0.4">
      <c r="A2" s="11">
        <v>1</v>
      </c>
      <c r="B2" s="10" t="s">
        <v>11</v>
      </c>
      <c r="C2" s="10" t="s">
        <v>12</v>
      </c>
      <c r="D2" s="10">
        <v>330</v>
      </c>
      <c r="E2" s="10">
        <f>AVERAGE(D$2:D11)</f>
        <v>99694.11</v>
      </c>
      <c r="F2" s="10">
        <f>D2-E2</f>
        <v>-99364.11</v>
      </c>
      <c r="G2" s="10">
        <f>F2^2</f>
        <v>9873226356.0921001</v>
      </c>
      <c r="H2" s="10">
        <v>330.7</v>
      </c>
      <c r="J2" t="s">
        <v>41</v>
      </c>
    </row>
    <row r="3" spans="1:10" ht="19" thickBot="1" x14ac:dyDescent="0.4">
      <c r="A3" s="11">
        <v>2</v>
      </c>
      <c r="B3" s="10" t="s">
        <v>13</v>
      </c>
      <c r="C3" s="10" t="s">
        <v>14</v>
      </c>
      <c r="D3" s="10">
        <v>65</v>
      </c>
      <c r="E3" s="10">
        <f>AVERAGE(D$2:D12)</f>
        <v>99694.11</v>
      </c>
      <c r="F3" s="10">
        <f t="shared" ref="F3:F11" si="0">D3-E3</f>
        <v>-99629.11</v>
      </c>
      <c r="G3" s="10">
        <f t="shared" ref="G3:G11" si="1">F3^2</f>
        <v>9925959559.3920994</v>
      </c>
      <c r="H3" s="10">
        <v>67.900000000000006</v>
      </c>
      <c r="J3" t="s">
        <v>40</v>
      </c>
    </row>
    <row r="4" spans="1:10" ht="31.5" thickBot="1" x14ac:dyDescent="0.4">
      <c r="A4" s="11">
        <v>3</v>
      </c>
      <c r="B4" s="10" t="s">
        <v>15</v>
      </c>
      <c r="C4" s="10" t="s">
        <v>16</v>
      </c>
      <c r="D4" s="12">
        <v>993000</v>
      </c>
      <c r="E4" s="10">
        <f>AVERAGE(D$2:D13)</f>
        <v>99694.11</v>
      </c>
      <c r="F4" s="10">
        <f t="shared" si="0"/>
        <v>893305.89</v>
      </c>
      <c r="G4" s="10">
        <f t="shared" si="1"/>
        <v>797995413108.69214</v>
      </c>
      <c r="H4" s="10" t="s">
        <v>17</v>
      </c>
    </row>
    <row r="5" spans="1:10" ht="19" thickBot="1" x14ac:dyDescent="0.4">
      <c r="A5" s="11">
        <v>4</v>
      </c>
      <c r="B5" s="10" t="s">
        <v>18</v>
      </c>
      <c r="C5" s="10" t="s">
        <v>19</v>
      </c>
      <c r="D5" s="10">
        <v>51</v>
      </c>
      <c r="E5" s="10">
        <f>AVERAGE(D$2:D14)</f>
        <v>99694.11</v>
      </c>
      <c r="F5" s="10">
        <f t="shared" si="0"/>
        <v>-99643.11</v>
      </c>
      <c r="G5" s="10">
        <f t="shared" si="1"/>
        <v>9928749370.4720993</v>
      </c>
      <c r="H5" s="10" t="s">
        <v>20</v>
      </c>
      <c r="J5">
        <f>STDEV(D2:D11)</f>
        <v>313876.45012614067</v>
      </c>
    </row>
    <row r="6" spans="1:10" ht="31.5" thickBot="1" x14ac:dyDescent="0.4">
      <c r="A6" s="11">
        <v>5</v>
      </c>
      <c r="B6" s="10" t="s">
        <v>21</v>
      </c>
      <c r="C6" s="10" t="s">
        <v>22</v>
      </c>
      <c r="D6" s="10">
        <v>1000</v>
      </c>
      <c r="E6" s="10">
        <f>AVERAGE(D$2:D15)</f>
        <v>99694.11</v>
      </c>
      <c r="F6" s="10">
        <f t="shared" si="0"/>
        <v>-98694.11</v>
      </c>
      <c r="G6" s="10">
        <f t="shared" si="1"/>
        <v>9740527348.6921005</v>
      </c>
      <c r="H6" s="10" t="s">
        <v>23</v>
      </c>
    </row>
    <row r="7" spans="1:10" ht="31.5" thickBot="1" x14ac:dyDescent="0.4">
      <c r="A7" s="11">
        <v>6</v>
      </c>
      <c r="B7" s="10" t="s">
        <v>24</v>
      </c>
      <c r="C7" s="10" t="s">
        <v>25</v>
      </c>
      <c r="D7" s="10">
        <v>38</v>
      </c>
      <c r="E7" s="10">
        <f>AVERAGE(D$2:D16)</f>
        <v>99694.11</v>
      </c>
      <c r="F7" s="10">
        <f t="shared" si="0"/>
        <v>-99656.11</v>
      </c>
      <c r="G7" s="10">
        <f t="shared" si="1"/>
        <v>9931340260.3320999</v>
      </c>
      <c r="H7" s="10" t="s">
        <v>26</v>
      </c>
    </row>
    <row r="8" spans="1:10" ht="31.5" thickBot="1" x14ac:dyDescent="0.4">
      <c r="A8" s="11">
        <v>7</v>
      </c>
      <c r="B8" s="10" t="s">
        <v>27</v>
      </c>
      <c r="C8" s="10" t="s">
        <v>28</v>
      </c>
      <c r="D8" s="10">
        <v>2200</v>
      </c>
      <c r="E8" s="10">
        <f>AVERAGE(D$2:D17)</f>
        <v>99694.11</v>
      </c>
      <c r="F8" s="10">
        <f t="shared" si="0"/>
        <v>-97494.11</v>
      </c>
      <c r="G8" s="10">
        <f t="shared" si="1"/>
        <v>9505101484.6921005</v>
      </c>
      <c r="H8" s="10" t="s">
        <v>29</v>
      </c>
    </row>
    <row r="9" spans="1:10" ht="31.5" thickBot="1" x14ac:dyDescent="0.4">
      <c r="A9" s="11">
        <v>8</v>
      </c>
      <c r="B9" s="10" t="s">
        <v>30</v>
      </c>
      <c r="C9" s="10" t="s">
        <v>31</v>
      </c>
      <c r="D9" s="10">
        <v>10.1</v>
      </c>
      <c r="E9" s="10">
        <f>AVERAGE(D$2:D18)</f>
        <v>99694.11</v>
      </c>
      <c r="F9" s="10">
        <f t="shared" si="0"/>
        <v>-99684.01</v>
      </c>
      <c r="G9" s="10">
        <f t="shared" si="1"/>
        <v>9936901849.6800995</v>
      </c>
      <c r="H9" s="10" t="s">
        <v>32</v>
      </c>
    </row>
    <row r="10" spans="1:10" ht="31.5" thickBot="1" x14ac:dyDescent="0.4">
      <c r="A10" s="11">
        <v>9</v>
      </c>
      <c r="B10" s="10" t="s">
        <v>21</v>
      </c>
      <c r="C10" s="10" t="s">
        <v>33</v>
      </c>
      <c r="D10" s="10">
        <v>150</v>
      </c>
      <c r="E10" s="10">
        <f>AVERAGE(D$2:D19)</f>
        <v>99694.11</v>
      </c>
      <c r="F10" s="10">
        <f t="shared" si="0"/>
        <v>-99544.11</v>
      </c>
      <c r="G10" s="10">
        <f t="shared" si="1"/>
        <v>9909029835.6921005</v>
      </c>
      <c r="H10" s="10" t="s">
        <v>34</v>
      </c>
    </row>
    <row r="11" spans="1:10" ht="31.5" thickBot="1" x14ac:dyDescent="0.4">
      <c r="A11" s="11">
        <v>10</v>
      </c>
      <c r="B11" s="10" t="s">
        <v>35</v>
      </c>
      <c r="C11" s="10" t="s">
        <v>22</v>
      </c>
      <c r="D11" s="10">
        <v>97</v>
      </c>
      <c r="E11" s="10">
        <f>AVERAGE(D$2:D20)</f>
        <v>99694.11</v>
      </c>
      <c r="F11" s="10">
        <f t="shared" si="0"/>
        <v>-99597.11</v>
      </c>
      <c r="G11" s="10">
        <f t="shared" si="1"/>
        <v>9919584320.3521004</v>
      </c>
      <c r="H11" s="1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6"/>
  <sheetViews>
    <sheetView tabSelected="1" workbookViewId="0">
      <selection activeCell="C1" sqref="C1"/>
    </sheetView>
  </sheetViews>
  <sheetFormatPr defaultRowHeight="14.5" x14ac:dyDescent="0.35"/>
  <cols>
    <col min="2" max="4" width="9.453125" bestFit="1" customWidth="1"/>
    <col min="5" max="5" width="8.81640625" bestFit="1" customWidth="1"/>
    <col min="6" max="6" width="9.453125" bestFit="1" customWidth="1"/>
    <col min="7" max="7" width="15.36328125" customWidth="1"/>
  </cols>
  <sheetData>
    <row r="1" spans="1:10" ht="15.75" customHeight="1" thickBot="1" x14ac:dyDescent="0.4">
      <c r="A1" s="2" t="s">
        <v>0</v>
      </c>
      <c r="B1" s="3" t="s">
        <v>1</v>
      </c>
      <c r="C1" t="s">
        <v>52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</row>
    <row r="2" spans="1:10" ht="16" thickBot="1" x14ac:dyDescent="0.4">
      <c r="A2" s="7">
        <v>1</v>
      </c>
      <c r="B2" s="24">
        <v>475000</v>
      </c>
      <c r="D2" s="5">
        <v>473000</v>
      </c>
      <c r="E2" s="5">
        <v>473000</v>
      </c>
      <c r="F2" s="5">
        <v>474000</v>
      </c>
      <c r="G2" s="5">
        <v>473000</v>
      </c>
      <c r="H2" s="5">
        <v>474000</v>
      </c>
    </row>
    <row r="3" spans="1:10" ht="16" thickBot="1" x14ac:dyDescent="0.4">
      <c r="A3" s="1">
        <v>2</v>
      </c>
      <c r="B3" s="8">
        <v>471000</v>
      </c>
      <c r="D3" s="6">
        <v>473000</v>
      </c>
      <c r="E3" s="6">
        <v>474000</v>
      </c>
      <c r="F3" s="6">
        <v>473000</v>
      </c>
      <c r="G3" s="6">
        <v>472000</v>
      </c>
      <c r="H3" s="6">
        <v>477000</v>
      </c>
    </row>
    <row r="4" spans="1:10" ht="16" thickBot="1" x14ac:dyDescent="0.4">
      <c r="A4" s="1">
        <v>3</v>
      </c>
      <c r="B4" s="25">
        <v>474000</v>
      </c>
      <c r="D4" s="6">
        <v>472000</v>
      </c>
      <c r="E4" s="6">
        <v>474000</v>
      </c>
      <c r="F4" s="6">
        <v>472000</v>
      </c>
      <c r="G4" s="6">
        <v>473000</v>
      </c>
      <c r="H4" s="6">
        <v>474000</v>
      </c>
    </row>
    <row r="5" spans="1:10" ht="16" thickBot="1" x14ac:dyDescent="0.4">
      <c r="A5" s="7">
        <v>4</v>
      </c>
      <c r="B5" s="25">
        <v>473000</v>
      </c>
      <c r="D5" s="6">
        <v>474000</v>
      </c>
      <c r="E5" s="6">
        <v>471000</v>
      </c>
      <c r="F5" s="6">
        <v>473000</v>
      </c>
      <c r="G5" s="6">
        <v>477000</v>
      </c>
      <c r="H5" s="6">
        <v>473000</v>
      </c>
    </row>
    <row r="6" spans="1:10" ht="16" thickBot="1" x14ac:dyDescent="0.4">
      <c r="A6" s="1">
        <v>5</v>
      </c>
      <c r="B6" s="8">
        <v>472000</v>
      </c>
      <c r="D6" s="6">
        <v>474000</v>
      </c>
      <c r="E6" s="6">
        <v>478000</v>
      </c>
      <c r="F6" s="6">
        <v>478000</v>
      </c>
      <c r="G6" s="6">
        <v>474000</v>
      </c>
      <c r="H6" s="6">
        <v>471000</v>
      </c>
    </row>
    <row r="7" spans="1:10" ht="16" thickBot="1" x14ac:dyDescent="0.4">
      <c r="A7" s="1">
        <v>6</v>
      </c>
      <c r="B7" s="25">
        <v>477000</v>
      </c>
      <c r="D7" s="6">
        <v>474000</v>
      </c>
      <c r="E7" s="6">
        <v>472000</v>
      </c>
      <c r="F7" s="6">
        <v>471000</v>
      </c>
      <c r="G7" s="6">
        <v>478000</v>
      </c>
    </row>
    <row r="8" spans="1:10" ht="16" thickBot="1" x14ac:dyDescent="0.4">
      <c r="A8" s="7">
        <v>7</v>
      </c>
      <c r="B8" s="25">
        <v>473000</v>
      </c>
      <c r="D8" s="6">
        <v>474000</v>
      </c>
      <c r="E8" s="6">
        <v>473000</v>
      </c>
      <c r="F8" s="6">
        <v>474000</v>
      </c>
      <c r="G8" s="6">
        <v>474000</v>
      </c>
    </row>
    <row r="9" spans="1:10" ht="16" thickBot="1" x14ac:dyDescent="0.4">
      <c r="A9" s="1">
        <v>8</v>
      </c>
      <c r="B9" s="25">
        <v>474000</v>
      </c>
      <c r="D9" s="6">
        <v>474000</v>
      </c>
      <c r="E9" s="6">
        <v>472000</v>
      </c>
      <c r="F9" s="6">
        <v>474000</v>
      </c>
      <c r="G9" s="6">
        <v>473000</v>
      </c>
    </row>
    <row r="10" spans="1:10" ht="16" thickBot="1" x14ac:dyDescent="0.4">
      <c r="A10" s="1">
        <v>9</v>
      </c>
      <c r="B10" s="25">
        <v>473000</v>
      </c>
      <c r="D10" s="6">
        <v>474000</v>
      </c>
      <c r="E10" s="6">
        <v>474000</v>
      </c>
      <c r="F10" s="6">
        <v>471000</v>
      </c>
      <c r="G10" s="6">
        <v>474000</v>
      </c>
      <c r="J10" s="13"/>
    </row>
    <row r="11" spans="1:10" ht="16" thickBot="1" x14ac:dyDescent="0.4">
      <c r="A11" s="7">
        <v>10</v>
      </c>
      <c r="B11" s="25">
        <v>474000</v>
      </c>
      <c r="D11" s="6">
        <v>474000</v>
      </c>
      <c r="E11" s="6">
        <v>477000</v>
      </c>
      <c r="F11" s="6">
        <v>473000</v>
      </c>
      <c r="G11" s="6">
        <v>472000</v>
      </c>
    </row>
    <row r="12" spans="1:10" ht="16" thickBot="1" x14ac:dyDescent="0.4">
      <c r="A12" s="1">
        <v>11</v>
      </c>
      <c r="B12" s="6">
        <v>473000</v>
      </c>
      <c r="D12" s="6">
        <v>473000</v>
      </c>
      <c r="E12" s="6">
        <v>473000</v>
      </c>
      <c r="F12" s="6">
        <v>472000</v>
      </c>
    </row>
    <row r="13" spans="1:10" ht="16" thickBot="1" x14ac:dyDescent="0.4">
      <c r="A13" s="1">
        <v>12</v>
      </c>
      <c r="B13" s="6">
        <v>472000</v>
      </c>
      <c r="D13" s="6">
        <v>472000</v>
      </c>
      <c r="E13" s="6">
        <v>473000</v>
      </c>
      <c r="F13" s="6">
        <v>473000</v>
      </c>
    </row>
    <row r="14" spans="1:10" ht="16" thickBot="1" x14ac:dyDescent="0.4">
      <c r="A14" s="7">
        <v>13</v>
      </c>
      <c r="B14" s="6">
        <v>473000</v>
      </c>
      <c r="D14" s="6">
        <v>473000</v>
      </c>
      <c r="E14" s="6">
        <v>473000</v>
      </c>
      <c r="F14" s="6">
        <v>474000</v>
      </c>
    </row>
    <row r="15" spans="1:10" ht="16" thickBot="1" x14ac:dyDescent="0.4">
      <c r="A15" s="1">
        <v>14</v>
      </c>
      <c r="B15" s="6">
        <v>472000</v>
      </c>
      <c r="D15" s="6">
        <v>472000</v>
      </c>
      <c r="E15" s="6">
        <v>474000</v>
      </c>
      <c r="F15" s="6">
        <v>472000</v>
      </c>
    </row>
    <row r="16" spans="1:10" ht="16" thickBot="1" x14ac:dyDescent="0.4">
      <c r="A16" s="1">
        <v>15</v>
      </c>
      <c r="B16" s="6">
        <v>478000</v>
      </c>
      <c r="D16" s="6">
        <v>477000</v>
      </c>
      <c r="E16" s="6">
        <v>472000</v>
      </c>
      <c r="F16" s="6">
        <v>474000</v>
      </c>
    </row>
    <row r="17" spans="1:5" ht="16" thickBot="1" x14ac:dyDescent="0.4">
      <c r="A17" s="7">
        <v>16</v>
      </c>
      <c r="B17" s="6">
        <v>473000</v>
      </c>
      <c r="D17" s="6">
        <v>472000</v>
      </c>
      <c r="E17" s="6">
        <v>472000</v>
      </c>
    </row>
    <row r="18" spans="1:5" ht="16" thickBot="1" x14ac:dyDescent="0.4">
      <c r="A18" s="1">
        <v>17</v>
      </c>
      <c r="B18" s="6">
        <v>472000</v>
      </c>
      <c r="D18" s="6">
        <v>472000</v>
      </c>
      <c r="E18" s="6">
        <v>472000</v>
      </c>
    </row>
    <row r="19" spans="1:5" ht="16" thickBot="1" x14ac:dyDescent="0.4">
      <c r="A19" s="1">
        <v>18</v>
      </c>
      <c r="B19" s="6">
        <v>472000</v>
      </c>
      <c r="D19" s="6">
        <v>472000</v>
      </c>
      <c r="E19" s="6">
        <v>473000</v>
      </c>
    </row>
    <row r="20" spans="1:5" ht="16" thickBot="1" x14ac:dyDescent="0.4">
      <c r="A20" s="7">
        <v>19</v>
      </c>
      <c r="B20" s="6">
        <v>472000</v>
      </c>
      <c r="D20" s="6">
        <v>473000</v>
      </c>
      <c r="E20" s="6">
        <v>473000</v>
      </c>
    </row>
    <row r="21" spans="1:5" ht="16" thickBot="1" x14ac:dyDescent="0.4">
      <c r="A21" s="1">
        <v>20</v>
      </c>
      <c r="B21" s="6">
        <v>472000</v>
      </c>
      <c r="D21" s="6">
        <v>472000</v>
      </c>
      <c r="E21" s="6">
        <v>472000</v>
      </c>
    </row>
    <row r="22" spans="1:5" ht="16" thickBot="1" x14ac:dyDescent="0.4">
      <c r="A22" s="1">
        <v>21</v>
      </c>
      <c r="B22" s="6">
        <v>472000</v>
      </c>
      <c r="D22" s="6">
        <v>471000</v>
      </c>
    </row>
    <row r="23" spans="1:5" ht="16" thickBot="1" x14ac:dyDescent="0.4">
      <c r="A23" s="7">
        <v>22</v>
      </c>
      <c r="B23" s="6">
        <v>473000</v>
      </c>
      <c r="D23" s="6">
        <v>473000</v>
      </c>
    </row>
    <row r="24" spans="1:5" ht="16" thickBot="1" x14ac:dyDescent="0.4">
      <c r="A24" s="1">
        <v>23</v>
      </c>
      <c r="B24" s="6">
        <v>474000</v>
      </c>
      <c r="D24" s="6">
        <v>478000</v>
      </c>
    </row>
    <row r="25" spans="1:5" ht="16" thickBot="1" x14ac:dyDescent="0.4">
      <c r="A25" s="1">
        <v>24</v>
      </c>
      <c r="B25" s="6">
        <v>472000</v>
      </c>
      <c r="D25" s="6">
        <v>476000</v>
      </c>
    </row>
    <row r="26" spans="1:5" ht="16" thickBot="1" x14ac:dyDescent="0.4">
      <c r="A26" s="7">
        <v>25</v>
      </c>
      <c r="B26" s="6">
        <v>473000</v>
      </c>
      <c r="D26" s="6">
        <v>475000</v>
      </c>
    </row>
    <row r="27" spans="1:5" ht="16" thickBot="1" x14ac:dyDescent="0.4">
      <c r="A27" s="1">
        <v>26</v>
      </c>
      <c r="B27" s="6">
        <v>472000</v>
      </c>
    </row>
    <row r="28" spans="1:5" ht="16" thickBot="1" x14ac:dyDescent="0.4">
      <c r="A28" s="1">
        <v>27</v>
      </c>
      <c r="B28" s="6">
        <v>474000</v>
      </c>
    </row>
    <row r="29" spans="1:5" ht="16" thickBot="1" x14ac:dyDescent="0.4">
      <c r="A29" s="7">
        <v>28</v>
      </c>
      <c r="B29" s="6">
        <v>478000</v>
      </c>
    </row>
    <row r="30" spans="1:5" ht="16" thickBot="1" x14ac:dyDescent="0.4">
      <c r="A30" s="1">
        <v>29</v>
      </c>
      <c r="B30" s="6">
        <v>473000</v>
      </c>
    </row>
    <row r="31" spans="1:5" ht="16" thickBot="1" x14ac:dyDescent="0.4">
      <c r="A31" s="1">
        <v>30</v>
      </c>
      <c r="B31" s="6">
        <v>473000</v>
      </c>
    </row>
    <row r="32" spans="1:5" ht="15" thickBot="1" x14ac:dyDescent="0.4"/>
    <row r="33" spans="1:17" ht="30" customHeight="1" thickBot="1" x14ac:dyDescent="0.4">
      <c r="A33" s="20" t="s">
        <v>42</v>
      </c>
      <c r="B33" s="22" t="s">
        <v>43</v>
      </c>
      <c r="C33" s="23"/>
      <c r="D33" s="22" t="s">
        <v>44</v>
      </c>
      <c r="E33" s="23"/>
      <c r="G33" t="s">
        <v>51</v>
      </c>
      <c r="H33" s="26">
        <f>_xlfn.STDEV.P(B2:B31)</f>
        <v>1696.0738977611402</v>
      </c>
      <c r="I33" s="26">
        <f>_xlfn.STDEV.P(D2:D26)</f>
        <v>1627.7591959500644</v>
      </c>
      <c r="J33">
        <f>_xlfn.STDEV.P(E2:E21)</f>
        <v>1639.3596310755001</v>
      </c>
      <c r="K33">
        <f>_xlfn.STDEV.P(F2:F16)</f>
        <v>1641.1378166788229</v>
      </c>
      <c r="L33">
        <f>_xlfn.STDEV.P(G2:G11)</f>
        <v>1897.3665961010277</v>
      </c>
      <c r="M33">
        <f>_xlfn.STDEV.P(H2:H6)</f>
        <v>1939.0719429665317</v>
      </c>
    </row>
    <row r="34" spans="1:17" ht="30.5" thickBot="1" x14ac:dyDescent="0.4">
      <c r="A34" s="21"/>
      <c r="B34" s="14" t="s">
        <v>45</v>
      </c>
      <c r="C34" s="14" t="s">
        <v>46</v>
      </c>
      <c r="D34" s="14" t="s">
        <v>45</v>
      </c>
      <c r="E34" s="14" t="s">
        <v>46</v>
      </c>
      <c r="G34" t="s">
        <v>50</v>
      </c>
      <c r="H34" s="26">
        <f>AVERAGE(B2:B31)</f>
        <v>473300</v>
      </c>
      <c r="I34" s="26">
        <f>AVERAGE(D2:D26)</f>
        <v>473480</v>
      </c>
      <c r="J34">
        <f>AVERAGE(E2:E21)</f>
        <v>473250</v>
      </c>
      <c r="K34">
        <f>AVERAGE(F2:F15)</f>
        <v>473142.85714285716</v>
      </c>
      <c r="L34">
        <f>AVERAGE(G2:G11)</f>
        <v>474000</v>
      </c>
      <c r="M34">
        <f>AVERAGE(H2:H6)</f>
        <v>473800</v>
      </c>
    </row>
    <row r="35" spans="1:17" ht="16" thickBot="1" x14ac:dyDescent="0.4">
      <c r="A35" s="15">
        <v>1</v>
      </c>
      <c r="B35" s="16">
        <v>330</v>
      </c>
      <c r="C35" s="16">
        <v>0</v>
      </c>
      <c r="D35" s="17">
        <v>330.7</v>
      </c>
      <c r="E35" s="17" t="s">
        <v>47</v>
      </c>
      <c r="H35">
        <f>MEDIAN(B2:B31)</f>
        <v>473000</v>
      </c>
      <c r="I35">
        <f>MEDIAN(D2:D26)</f>
        <v>473000</v>
      </c>
      <c r="J35">
        <f>MEDIAN(E2:E21)</f>
        <v>473000</v>
      </c>
      <c r="K35">
        <f>MEDIAN(F2:F16)</f>
        <v>473000</v>
      </c>
      <c r="L35">
        <f>MEDIAN(G2:G11)</f>
        <v>473500</v>
      </c>
      <c r="M35">
        <f>MEDIAN(H2:H6)</f>
        <v>474000</v>
      </c>
    </row>
    <row r="36" spans="1:17" ht="16" thickBot="1" x14ac:dyDescent="0.4">
      <c r="A36" s="15">
        <v>2</v>
      </c>
      <c r="B36" s="16">
        <v>65</v>
      </c>
      <c r="C36" s="16">
        <v>4.6100000000000002E-2</v>
      </c>
      <c r="D36" s="17">
        <v>67.900000000000006</v>
      </c>
      <c r="E36" s="17">
        <v>1.47E-3</v>
      </c>
      <c r="Q36">
        <f>AVERAGE(C35:C44)</f>
        <v>2.0790000000000003E-2</v>
      </c>
    </row>
    <row r="37" spans="1:17" ht="16" thickBot="1" x14ac:dyDescent="0.4">
      <c r="A37" s="15">
        <v>3</v>
      </c>
      <c r="B37" s="18">
        <v>993000</v>
      </c>
      <c r="C37" s="16">
        <v>7.0000000000000001E-3</v>
      </c>
      <c r="D37" s="19">
        <v>990000</v>
      </c>
      <c r="E37" s="17">
        <v>0.01</v>
      </c>
    </row>
    <row r="38" spans="1:17" ht="16" thickBot="1" x14ac:dyDescent="0.4">
      <c r="A38" s="15">
        <v>4</v>
      </c>
      <c r="B38" s="16">
        <v>51</v>
      </c>
      <c r="C38" s="16">
        <v>8.9200000000000002E-2</v>
      </c>
      <c r="D38" s="17">
        <v>54.9</v>
      </c>
      <c r="E38" s="17">
        <v>1.9599999999999999E-2</v>
      </c>
    </row>
    <row r="39" spans="1:17" ht="16" thickBot="1" x14ac:dyDescent="0.4">
      <c r="A39" s="15">
        <v>5</v>
      </c>
      <c r="B39" s="16">
        <v>97</v>
      </c>
      <c r="C39" s="16">
        <v>0.03</v>
      </c>
      <c r="D39" s="17">
        <v>99</v>
      </c>
      <c r="E39" s="17">
        <v>0.01</v>
      </c>
    </row>
    <row r="40" spans="1:17" ht="16" thickBot="1" x14ac:dyDescent="0.4">
      <c r="A40" s="15">
        <v>6</v>
      </c>
      <c r="B40" s="18">
        <v>38000</v>
      </c>
      <c r="C40" s="16">
        <v>2.5600000000000001E-2</v>
      </c>
      <c r="D40" s="19">
        <v>38500</v>
      </c>
      <c r="E40" s="17">
        <v>1.2800000000000001E-2</v>
      </c>
    </row>
    <row r="41" spans="1:17" ht="16" thickBot="1" x14ac:dyDescent="0.4">
      <c r="A41" s="15">
        <v>7</v>
      </c>
      <c r="B41" s="18">
        <v>2200</v>
      </c>
      <c r="C41" s="16">
        <v>0</v>
      </c>
      <c r="D41" s="17">
        <v>2290</v>
      </c>
      <c r="E41" s="17">
        <v>4.1000000000000002E-2</v>
      </c>
    </row>
    <row r="42" spans="1:17" ht="16" thickBot="1" x14ac:dyDescent="0.4">
      <c r="A42" s="15">
        <v>8</v>
      </c>
      <c r="B42" s="16">
        <v>10.1</v>
      </c>
      <c r="C42" s="16">
        <v>0.01</v>
      </c>
      <c r="D42" s="17">
        <v>10.4</v>
      </c>
      <c r="E42" s="17">
        <v>0.04</v>
      </c>
    </row>
    <row r="43" spans="1:17" ht="16" thickBot="1" x14ac:dyDescent="0.4">
      <c r="A43" s="15">
        <v>9</v>
      </c>
      <c r="B43" s="16">
        <v>150</v>
      </c>
      <c r="C43" s="16">
        <v>0</v>
      </c>
      <c r="D43" s="17">
        <v>148.69999999999999</v>
      </c>
      <c r="E43" s="17">
        <v>8.6E-3</v>
      </c>
    </row>
    <row r="44" spans="1:17" ht="16" thickBot="1" x14ac:dyDescent="0.4">
      <c r="A44" s="15">
        <v>10</v>
      </c>
      <c r="B44" s="16">
        <v>1000</v>
      </c>
      <c r="C44" s="16">
        <v>0</v>
      </c>
      <c r="D44" s="17">
        <v>975</v>
      </c>
      <c r="E44" s="17">
        <v>2.5000000000000001E-2</v>
      </c>
    </row>
    <row r="45" spans="1:17" x14ac:dyDescent="0.35">
      <c r="A45" t="s">
        <v>48</v>
      </c>
      <c r="B45">
        <f>_xlfn.STDEV.P(B35:B44)</f>
        <v>296714.76961857645</v>
      </c>
      <c r="C45">
        <f>_xlfn.STDEV.P(C35:C44)</f>
        <v>2.7320265372064011E-2</v>
      </c>
      <c r="D45">
        <f>_xlfn.STDEV.P(D35:D44)</f>
        <v>295801.92710291868</v>
      </c>
      <c r="E45">
        <f>_xlfn.STDEV.P(E35:E44)</f>
        <v>1.3235263036839164E-2</v>
      </c>
    </row>
    <row r="46" spans="1:17" x14ac:dyDescent="0.35">
      <c r="A46" t="s">
        <v>49</v>
      </c>
      <c r="B46">
        <f>AVERAGE(B35:B44)</f>
        <v>103490.31</v>
      </c>
      <c r="C46">
        <f>AVERAGE(C35:C44)</f>
        <v>2.0790000000000003E-2</v>
      </c>
      <c r="D46">
        <f>AVERAGE(D35:D44)</f>
        <v>103247.66</v>
      </c>
      <c r="E46">
        <f>AVERAGE(E35:E44)</f>
        <v>1.8718888888888889E-2</v>
      </c>
    </row>
  </sheetData>
  <mergeCells count="3">
    <mergeCell ref="A33:A34"/>
    <mergeCell ref="B33:C33"/>
    <mergeCell ref="D33:E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DEVITA</cp:lastModifiedBy>
  <dcterms:created xsi:type="dcterms:W3CDTF">2022-09-04T07:17:51Z</dcterms:created>
  <dcterms:modified xsi:type="dcterms:W3CDTF">2022-09-06T14:48:50Z</dcterms:modified>
</cp:coreProperties>
</file>