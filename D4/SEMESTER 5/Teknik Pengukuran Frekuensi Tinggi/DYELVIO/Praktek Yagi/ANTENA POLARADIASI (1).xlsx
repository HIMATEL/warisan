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Dyelvio\1NK\Sem 5\Pengukuran Frekuensi Tinggi\Praktek Yagi\"/>
    </mc:Choice>
  </mc:AlternateContent>
  <xr:revisionPtr revIDLastSave="0" documentId="13_ncr:1_{3127CA33-0A5F-4FB9-AD08-CB793A9CF4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C39" i="1" l="1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G3" i="2"/>
  <c r="C3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" i="1"/>
</calcChain>
</file>

<file path=xl/sharedStrings.xml><?xml version="1.0" encoding="utf-8"?>
<sst xmlns="http://schemas.openxmlformats.org/spreadsheetml/2006/main" count="12" uniqueCount="5">
  <si>
    <t>DERAJAT</t>
  </si>
  <si>
    <t>DAYA1</t>
  </si>
  <si>
    <t>DAYA</t>
  </si>
  <si>
    <t>TONE</t>
  </si>
  <si>
    <t>NO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</si>
</sst>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/>
            </a:pPr>
            <a:r>
              <a:rPr lang="en-US"/>
              <a:t>HORIZONTAL</a:t>
            </a:r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1"/>
          <c:order val="0"/>
          <c:spPr>
            <a:prstGeom prst="rect">
              <a:avLst/>
            </a:prstGeom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Sheet1!$C$3:$C$39</c:f>
              <c:numCache>
                <c:formatCode>General</c:formatCode>
                <c:ptCount val="37"/>
                <c:pt idx="0">
                  <c:v>-4.6000000000000014</c:v>
                </c:pt>
                <c:pt idx="1">
                  <c:v>-5.6000000000000014</c:v>
                </c:pt>
                <c:pt idx="2">
                  <c:v>-5.8999999999999986</c:v>
                </c:pt>
                <c:pt idx="3">
                  <c:v>-6.6000000000000014</c:v>
                </c:pt>
                <c:pt idx="4">
                  <c:v>-6.1999999999999957</c:v>
                </c:pt>
                <c:pt idx="5">
                  <c:v>-6.5</c:v>
                </c:pt>
                <c:pt idx="6">
                  <c:v>-7.5999999999999979</c:v>
                </c:pt>
                <c:pt idx="7">
                  <c:v>-9.7999999999999972</c:v>
                </c:pt>
                <c:pt idx="8">
                  <c:v>-10.7</c:v>
                </c:pt>
                <c:pt idx="9">
                  <c:v>-28.599999999999998</c:v>
                </c:pt>
                <c:pt idx="10">
                  <c:v>-22.5</c:v>
                </c:pt>
                <c:pt idx="11">
                  <c:v>-25.599999999999998</c:v>
                </c:pt>
                <c:pt idx="12">
                  <c:v>-27.299999999999997</c:v>
                </c:pt>
                <c:pt idx="13">
                  <c:v>-21.299999999999997</c:v>
                </c:pt>
                <c:pt idx="14">
                  <c:v>-23</c:v>
                </c:pt>
                <c:pt idx="15">
                  <c:v>-13.2</c:v>
                </c:pt>
                <c:pt idx="16">
                  <c:v>-7</c:v>
                </c:pt>
                <c:pt idx="17">
                  <c:v>-7.1000000000000014</c:v>
                </c:pt>
                <c:pt idx="18">
                  <c:v>-19.099999999999998</c:v>
                </c:pt>
                <c:pt idx="19">
                  <c:v>-7.5999999999999979</c:v>
                </c:pt>
                <c:pt idx="20">
                  <c:v>-9.2999999999999972</c:v>
                </c:pt>
                <c:pt idx="21">
                  <c:v>-8.8999999999999986</c:v>
                </c:pt>
                <c:pt idx="22">
                  <c:v>-9.8999999999999986</c:v>
                </c:pt>
                <c:pt idx="23">
                  <c:v>-11</c:v>
                </c:pt>
                <c:pt idx="24">
                  <c:v>-11.899999999999999</c:v>
                </c:pt>
                <c:pt idx="25">
                  <c:v>-15</c:v>
                </c:pt>
                <c:pt idx="26">
                  <c:v>-20.9</c:v>
                </c:pt>
                <c:pt idx="27">
                  <c:v>-14</c:v>
                </c:pt>
                <c:pt idx="28">
                  <c:v>-22.5</c:v>
                </c:pt>
                <c:pt idx="29">
                  <c:v>-14.399999999999999</c:v>
                </c:pt>
                <c:pt idx="30">
                  <c:v>-9.3999999999999986</c:v>
                </c:pt>
                <c:pt idx="31">
                  <c:v>-5</c:v>
                </c:pt>
                <c:pt idx="32">
                  <c:v>-3.1999999999999957</c:v>
                </c:pt>
                <c:pt idx="33">
                  <c:v>-4.3999999999999986</c:v>
                </c:pt>
                <c:pt idx="34">
                  <c:v>-1.2999999999999972</c:v>
                </c:pt>
                <c:pt idx="35">
                  <c:v>-1.8999999999999986</c:v>
                </c:pt>
                <c:pt idx="36">
                  <c:v>-4.6000000000000014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F-447F-91C1-76AA009D2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721971"/>
        <c:axId val="511721972"/>
      </c:radarChart>
      <c:catAx>
        <c:axId val="5117219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721972"/>
        <c:crosses val="autoZero"/>
        <c:auto val="1"/>
        <c:lblAlgn val="ctr"/>
        <c:lblOffset val="100"/>
        <c:tickMarkSkip val="1"/>
        <c:noMultiLvlLbl val="0"/>
      </c:catAx>
      <c:valAx>
        <c:axId val="511721972"/>
        <c:scaling>
          <c:orientation val="minMax"/>
          <c:min val="-30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511721971"/>
        <c:crosses val="autoZero"/>
        <c:crossBetween val="between"/>
        <c:majorUnit val="5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>
    <a:xfrm>
      <a:off x="5088834" y="4570342"/>
      <a:ext cx="4283765" cy="25336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E-PLANE PATTERN</a:t>
            </a:r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Sheet1!$E$3:$E$38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Sheet1!$G$3:$G$38</c:f>
              <c:numCache>
                <c:formatCode>General</c:formatCode>
                <c:ptCount val="36"/>
                <c:pt idx="0">
                  <c:v>-4.2000000000000028</c:v>
                </c:pt>
                <c:pt idx="1">
                  <c:v>-3.7000000000000028</c:v>
                </c:pt>
                <c:pt idx="2">
                  <c:v>-4.5</c:v>
                </c:pt>
                <c:pt idx="3">
                  <c:v>-4.6000000000000014</c:v>
                </c:pt>
                <c:pt idx="4">
                  <c:v>-5</c:v>
                </c:pt>
                <c:pt idx="5">
                  <c:v>-6.4000000000000057</c:v>
                </c:pt>
                <c:pt idx="6">
                  <c:v>-7.6000000000000014</c:v>
                </c:pt>
                <c:pt idx="7">
                  <c:v>-9.8000000000000043</c:v>
                </c:pt>
                <c:pt idx="8">
                  <c:v>-11.800000000000004</c:v>
                </c:pt>
                <c:pt idx="9">
                  <c:v>-27.800000000000004</c:v>
                </c:pt>
                <c:pt idx="10">
                  <c:v>-21.200000000000003</c:v>
                </c:pt>
                <c:pt idx="11">
                  <c:v>-23.700000000000003</c:v>
                </c:pt>
                <c:pt idx="12">
                  <c:v>-19.200000000000003</c:v>
                </c:pt>
                <c:pt idx="13">
                  <c:v>-10.600000000000001</c:v>
                </c:pt>
                <c:pt idx="14">
                  <c:v>-21.200000000000003</c:v>
                </c:pt>
                <c:pt idx="15">
                  <c:v>-11.900000000000002</c:v>
                </c:pt>
                <c:pt idx="16">
                  <c:v>-8.0000000000000036</c:v>
                </c:pt>
                <c:pt idx="17">
                  <c:v>-7.5000000000000036</c:v>
                </c:pt>
                <c:pt idx="18">
                  <c:v>-17.200000000000003</c:v>
                </c:pt>
                <c:pt idx="19">
                  <c:v>-16.200000000000003</c:v>
                </c:pt>
                <c:pt idx="20">
                  <c:v>-11.200000000000003</c:v>
                </c:pt>
                <c:pt idx="21">
                  <c:v>-8.2000000000000028</c:v>
                </c:pt>
                <c:pt idx="22">
                  <c:v>-9.4000000000000021</c:v>
                </c:pt>
                <c:pt idx="23">
                  <c:v>-10.900000000000002</c:v>
                </c:pt>
                <c:pt idx="24">
                  <c:v>-12.800000000000004</c:v>
                </c:pt>
                <c:pt idx="25">
                  <c:v>-18.600000000000001</c:v>
                </c:pt>
                <c:pt idx="26">
                  <c:v>-23.900000000000002</c:v>
                </c:pt>
                <c:pt idx="27">
                  <c:v>-11.200000000000003</c:v>
                </c:pt>
                <c:pt idx="28">
                  <c:v>-12.700000000000003</c:v>
                </c:pt>
                <c:pt idx="29">
                  <c:v>-16.700000000000003</c:v>
                </c:pt>
                <c:pt idx="30">
                  <c:v>-9.5000000000000036</c:v>
                </c:pt>
                <c:pt idx="31">
                  <c:v>-5</c:v>
                </c:pt>
                <c:pt idx="32">
                  <c:v>-2.9000000000000057</c:v>
                </c:pt>
                <c:pt idx="33">
                  <c:v>-1.2000000000000028</c:v>
                </c:pt>
                <c:pt idx="34">
                  <c:v>0</c:v>
                </c:pt>
                <c:pt idx="35">
                  <c:v>-1.2000000000000028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2-4B9D-B40B-36881131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119280"/>
        <c:axId val="439122888"/>
      </c:radarChart>
      <c:catAx>
        <c:axId val="43911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22888"/>
        <c:crosses val="autoZero"/>
        <c:auto val="1"/>
        <c:lblAlgn val="ctr"/>
        <c:lblOffset val="100"/>
        <c:noMultiLvlLbl val="0"/>
      </c:catAx>
      <c:valAx>
        <c:axId val="4391228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19280"/>
        <c:crosses val="autoZero"/>
        <c:crossBetween val="between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Sheet1!$A$3:$A$39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cat>
          <c:val>
            <c:numRef>
              <c:f>Sheet1!$C$3:$C$39</c:f>
              <c:numCache>
                <c:formatCode>General</c:formatCode>
                <c:ptCount val="37"/>
                <c:pt idx="0">
                  <c:v>-4.6000000000000014</c:v>
                </c:pt>
                <c:pt idx="1">
                  <c:v>-5.6000000000000014</c:v>
                </c:pt>
                <c:pt idx="2">
                  <c:v>-5.8999999999999986</c:v>
                </c:pt>
                <c:pt idx="3">
                  <c:v>-6.6000000000000014</c:v>
                </c:pt>
                <c:pt idx="4">
                  <c:v>-6.1999999999999957</c:v>
                </c:pt>
                <c:pt idx="5">
                  <c:v>-6.5</c:v>
                </c:pt>
                <c:pt idx="6">
                  <c:v>-7.5999999999999979</c:v>
                </c:pt>
                <c:pt idx="7">
                  <c:v>-9.7999999999999972</c:v>
                </c:pt>
                <c:pt idx="8">
                  <c:v>-10.7</c:v>
                </c:pt>
                <c:pt idx="9">
                  <c:v>-28.599999999999998</c:v>
                </c:pt>
                <c:pt idx="10">
                  <c:v>-22.5</c:v>
                </c:pt>
                <c:pt idx="11">
                  <c:v>-25.599999999999998</c:v>
                </c:pt>
                <c:pt idx="12">
                  <c:v>-27.299999999999997</c:v>
                </c:pt>
                <c:pt idx="13">
                  <c:v>-21.299999999999997</c:v>
                </c:pt>
                <c:pt idx="14">
                  <c:v>-23</c:v>
                </c:pt>
                <c:pt idx="15">
                  <c:v>-13.2</c:v>
                </c:pt>
                <c:pt idx="16">
                  <c:v>-7</c:v>
                </c:pt>
                <c:pt idx="17">
                  <c:v>-7.1000000000000014</c:v>
                </c:pt>
                <c:pt idx="18">
                  <c:v>-19.099999999999998</c:v>
                </c:pt>
                <c:pt idx="19">
                  <c:v>-7.5999999999999979</c:v>
                </c:pt>
                <c:pt idx="20">
                  <c:v>-9.2999999999999972</c:v>
                </c:pt>
                <c:pt idx="21">
                  <c:v>-8.8999999999999986</c:v>
                </c:pt>
                <c:pt idx="22">
                  <c:v>-9.8999999999999986</c:v>
                </c:pt>
                <c:pt idx="23">
                  <c:v>-11</c:v>
                </c:pt>
                <c:pt idx="24">
                  <c:v>-11.899999999999999</c:v>
                </c:pt>
                <c:pt idx="25">
                  <c:v>-15</c:v>
                </c:pt>
                <c:pt idx="26">
                  <c:v>-20.9</c:v>
                </c:pt>
                <c:pt idx="27">
                  <c:v>-14</c:v>
                </c:pt>
                <c:pt idx="28">
                  <c:v>-22.5</c:v>
                </c:pt>
                <c:pt idx="29">
                  <c:v>-14.399999999999999</c:v>
                </c:pt>
                <c:pt idx="30">
                  <c:v>-9.3999999999999986</c:v>
                </c:pt>
                <c:pt idx="31">
                  <c:v>-5</c:v>
                </c:pt>
                <c:pt idx="32">
                  <c:v>-3.1999999999999957</c:v>
                </c:pt>
                <c:pt idx="33">
                  <c:v>-4.3999999999999986</c:v>
                </c:pt>
                <c:pt idx="34">
                  <c:v>-1.2999999999999972</c:v>
                </c:pt>
                <c:pt idx="35">
                  <c:v>-1.8999999999999986</c:v>
                </c:pt>
                <c:pt idx="36">
                  <c:v>-4.6000000000000014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A-45FD-A98D-D3BFFC92C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245151"/>
        <c:axId val="1030243887"/>
        <c:extLst>
          <c:ext xmlns:c15="http://schemas.microsoft.com/office/drawing/2012/chart" uri="{02D57815-91ED-43cb-92C2-25804820EDAC}">
            <c15:filteredRadar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Sheet1!$A$3:$A$39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80</c:v>
                      </c:pt>
                      <c:pt idx="9">
                        <c:v>90</c:v>
                      </c:pt>
                      <c:pt idx="10">
                        <c:v>100</c:v>
                      </c:pt>
                      <c:pt idx="11">
                        <c:v>110</c:v>
                      </c:pt>
                      <c:pt idx="12">
                        <c:v>120</c:v>
                      </c:pt>
                      <c:pt idx="13">
                        <c:v>130</c:v>
                      </c:pt>
                      <c:pt idx="14">
                        <c:v>140</c:v>
                      </c:pt>
                      <c:pt idx="15">
                        <c:v>150</c:v>
                      </c:pt>
                      <c:pt idx="16">
                        <c:v>160</c:v>
                      </c:pt>
                      <c:pt idx="17">
                        <c:v>170</c:v>
                      </c:pt>
                      <c:pt idx="18">
                        <c:v>180</c:v>
                      </c:pt>
                      <c:pt idx="19">
                        <c:v>190</c:v>
                      </c:pt>
                      <c:pt idx="20">
                        <c:v>200</c:v>
                      </c:pt>
                      <c:pt idx="21">
                        <c:v>210</c:v>
                      </c:pt>
                      <c:pt idx="22">
                        <c:v>220</c:v>
                      </c:pt>
                      <c:pt idx="23">
                        <c:v>230</c:v>
                      </c:pt>
                      <c:pt idx="24">
                        <c:v>240</c:v>
                      </c:pt>
                      <c:pt idx="25">
                        <c:v>250</c:v>
                      </c:pt>
                      <c:pt idx="26">
                        <c:v>260</c:v>
                      </c:pt>
                      <c:pt idx="27">
                        <c:v>270</c:v>
                      </c:pt>
                      <c:pt idx="28">
                        <c:v>280</c:v>
                      </c:pt>
                      <c:pt idx="29">
                        <c:v>290</c:v>
                      </c:pt>
                      <c:pt idx="30">
                        <c:v>300</c:v>
                      </c:pt>
                      <c:pt idx="31">
                        <c:v>310</c:v>
                      </c:pt>
                      <c:pt idx="32">
                        <c:v>320</c:v>
                      </c:pt>
                      <c:pt idx="33">
                        <c:v>330</c:v>
                      </c:pt>
                      <c:pt idx="34">
                        <c:v>340</c:v>
                      </c:pt>
                      <c:pt idx="35">
                        <c:v>350</c:v>
                      </c:pt>
                      <c:pt idx="36">
                        <c:v>360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Sheet1!$C$3:$C$39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-4.6000000000000014</c:v>
                      </c:pt>
                      <c:pt idx="1">
                        <c:v>-5.6000000000000014</c:v>
                      </c:pt>
                      <c:pt idx="2">
                        <c:v>-5.8999999999999986</c:v>
                      </c:pt>
                      <c:pt idx="3">
                        <c:v>-6.6000000000000014</c:v>
                      </c:pt>
                      <c:pt idx="4">
                        <c:v>-6.1999999999999957</c:v>
                      </c:pt>
                      <c:pt idx="5">
                        <c:v>-6.5</c:v>
                      </c:pt>
                      <c:pt idx="6">
                        <c:v>-7.5999999999999979</c:v>
                      </c:pt>
                      <c:pt idx="7">
                        <c:v>-9.7999999999999972</c:v>
                      </c:pt>
                      <c:pt idx="8">
                        <c:v>-10.7</c:v>
                      </c:pt>
                      <c:pt idx="9">
                        <c:v>-28.599999999999998</c:v>
                      </c:pt>
                      <c:pt idx="10">
                        <c:v>-22.5</c:v>
                      </c:pt>
                      <c:pt idx="11">
                        <c:v>-25.599999999999998</c:v>
                      </c:pt>
                      <c:pt idx="12">
                        <c:v>-27.299999999999997</c:v>
                      </c:pt>
                      <c:pt idx="13">
                        <c:v>-21.299999999999997</c:v>
                      </c:pt>
                      <c:pt idx="14">
                        <c:v>-23</c:v>
                      </c:pt>
                      <c:pt idx="15">
                        <c:v>-13.2</c:v>
                      </c:pt>
                      <c:pt idx="16">
                        <c:v>-7</c:v>
                      </c:pt>
                      <c:pt idx="17">
                        <c:v>-7.1000000000000014</c:v>
                      </c:pt>
                      <c:pt idx="18">
                        <c:v>-19.099999999999998</c:v>
                      </c:pt>
                      <c:pt idx="19">
                        <c:v>-7.5999999999999979</c:v>
                      </c:pt>
                      <c:pt idx="20">
                        <c:v>-9.2999999999999972</c:v>
                      </c:pt>
                      <c:pt idx="21">
                        <c:v>-8.8999999999999986</c:v>
                      </c:pt>
                      <c:pt idx="22">
                        <c:v>-9.8999999999999986</c:v>
                      </c:pt>
                      <c:pt idx="23">
                        <c:v>-11</c:v>
                      </c:pt>
                      <c:pt idx="24">
                        <c:v>-11.899999999999999</c:v>
                      </c:pt>
                      <c:pt idx="25">
                        <c:v>-15</c:v>
                      </c:pt>
                      <c:pt idx="26">
                        <c:v>-20.9</c:v>
                      </c:pt>
                      <c:pt idx="27">
                        <c:v>-14</c:v>
                      </c:pt>
                      <c:pt idx="28">
                        <c:v>-22.5</c:v>
                      </c:pt>
                      <c:pt idx="29">
                        <c:v>-14.399999999999999</c:v>
                      </c:pt>
                      <c:pt idx="30">
                        <c:v>-9.3999999999999986</c:v>
                      </c:pt>
                      <c:pt idx="31">
                        <c:v>-5</c:v>
                      </c:pt>
                      <c:pt idx="32">
                        <c:v>-3.1999999999999957</c:v>
                      </c:pt>
                      <c:pt idx="33">
                        <c:v>-4.3999999999999986</c:v>
                      </c:pt>
                      <c:pt idx="34">
                        <c:v>-1.2999999999999972</c:v>
                      </c:pt>
                      <c:pt idx="35">
                        <c:v>-1.8999999999999986</c:v>
                      </c:pt>
                      <c:pt idx="36">
                        <c:v>-4.6000000000000014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BCA-45FD-A98D-D3BFFC92C581}"/>
                  </c:ext>
                </c:extLst>
              </c15:ser>
            </c15:filteredRadarSeries>
          </c:ext>
        </c:extLst>
      </c:radarChart>
      <c:catAx>
        <c:axId val="104224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243887"/>
        <c:crosses val="autoZero"/>
        <c:auto val="1"/>
        <c:lblAlgn val="ctr"/>
        <c:lblOffset val="100"/>
        <c:noMultiLvlLbl val="0"/>
      </c:catAx>
      <c:valAx>
        <c:axId val="10302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4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141263</xdr:colOff>
      <xdr:row>3</xdr:row>
      <xdr:rowOff>31395</xdr:rowOff>
    </xdr:from>
    <xdr:to>
      <xdr:col>16</xdr:col>
      <xdr:colOff>157831</xdr:colOff>
      <xdr:row>17</xdr:row>
      <xdr:rowOff>31394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368879</xdr:colOff>
      <xdr:row>3</xdr:row>
      <xdr:rowOff>47793</xdr:rowOff>
    </xdr:from>
    <xdr:to>
      <xdr:col>23</xdr:col>
      <xdr:colOff>431616</xdr:colOff>
      <xdr:row>17</xdr:row>
      <xdr:rowOff>85893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53836</xdr:colOff>
      <xdr:row>19</xdr:row>
      <xdr:rowOff>15736</xdr:rowOff>
    </xdr:from>
    <xdr:to>
      <xdr:col>24</xdr:col>
      <xdr:colOff>374097</xdr:colOff>
      <xdr:row>33</xdr:row>
      <xdr:rowOff>53284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2E853-90BB-46E2-F89C-2F133C686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69" zoomScaleNormal="90" workbookViewId="0">
      <selection activeCell="AA16" sqref="AA16"/>
    </sheetView>
  </sheetViews>
  <sheetFormatPr defaultRowHeight="15" x14ac:dyDescent="0.25"/>
  <cols>
    <col min="1" max="1" width="11.28515625" customWidth="1"/>
    <col min="2" max="2" width="11" customWidth="1"/>
  </cols>
  <sheetData>
    <row r="1" spans="1:7" x14ac:dyDescent="0.25">
      <c r="A1" s="4" t="s">
        <v>3</v>
      </c>
      <c r="B1" s="4"/>
      <c r="E1" s="4" t="s">
        <v>4</v>
      </c>
      <c r="F1" s="4"/>
    </row>
    <row r="2" spans="1:7" x14ac:dyDescent="0.25">
      <c r="A2" s="1" t="s">
        <v>0</v>
      </c>
      <c r="B2" s="1" t="s">
        <v>1</v>
      </c>
      <c r="C2" s="1"/>
      <c r="E2" s="1" t="s">
        <v>0</v>
      </c>
      <c r="F2" s="1" t="s">
        <v>2</v>
      </c>
    </row>
    <row r="3" spans="1:7" x14ac:dyDescent="0.25">
      <c r="A3" s="1">
        <v>0</v>
      </c>
      <c r="B3">
        <v>34.799999999999997</v>
      </c>
      <c r="C3">
        <f>B3-39.4</f>
        <v>-4.6000000000000014</v>
      </c>
      <c r="E3" s="2">
        <v>0</v>
      </c>
      <c r="F3">
        <v>35</v>
      </c>
      <c r="G3" s="1">
        <f>F3-39.2</f>
        <v>-4.2000000000000028</v>
      </c>
    </row>
    <row r="4" spans="1:7" x14ac:dyDescent="0.25">
      <c r="A4" s="1">
        <v>10</v>
      </c>
      <c r="B4">
        <v>33.799999999999997</v>
      </c>
      <c r="C4">
        <f t="shared" ref="C4:C39" si="0">B4-39.4</f>
        <v>-5.6000000000000014</v>
      </c>
      <c r="E4" s="2">
        <v>10</v>
      </c>
      <c r="F4">
        <v>35.5</v>
      </c>
      <c r="G4" s="1">
        <f t="shared" ref="G4:G38" si="1">F4-39.2</f>
        <v>-3.7000000000000028</v>
      </c>
    </row>
    <row r="5" spans="1:7" x14ac:dyDescent="0.25">
      <c r="A5" s="1">
        <v>20</v>
      </c>
      <c r="B5">
        <v>33.5</v>
      </c>
      <c r="C5">
        <f t="shared" si="0"/>
        <v>-5.8999999999999986</v>
      </c>
      <c r="E5" s="2">
        <v>20</v>
      </c>
      <c r="F5">
        <v>34.700000000000003</v>
      </c>
      <c r="G5" s="1">
        <f t="shared" si="1"/>
        <v>-4.5</v>
      </c>
    </row>
    <row r="6" spans="1:7" x14ac:dyDescent="0.25">
      <c r="A6" s="1">
        <v>30</v>
      </c>
      <c r="B6">
        <v>32.799999999999997</v>
      </c>
      <c r="C6">
        <f t="shared" si="0"/>
        <v>-6.6000000000000014</v>
      </c>
      <c r="E6" s="2">
        <v>30</v>
      </c>
      <c r="F6">
        <v>34.6</v>
      </c>
      <c r="G6" s="1">
        <f t="shared" si="1"/>
        <v>-4.6000000000000014</v>
      </c>
    </row>
    <row r="7" spans="1:7" x14ac:dyDescent="0.25">
      <c r="A7" s="1">
        <v>40</v>
      </c>
      <c r="B7">
        <v>33.200000000000003</v>
      </c>
      <c r="C7">
        <f t="shared" si="0"/>
        <v>-6.1999999999999957</v>
      </c>
      <c r="E7" s="2">
        <v>40</v>
      </c>
      <c r="F7">
        <v>34.200000000000003</v>
      </c>
      <c r="G7" s="1">
        <f t="shared" si="1"/>
        <v>-5</v>
      </c>
    </row>
    <row r="8" spans="1:7" x14ac:dyDescent="0.25">
      <c r="A8" s="1">
        <v>50</v>
      </c>
      <c r="B8">
        <v>32.9</v>
      </c>
      <c r="C8">
        <f t="shared" si="0"/>
        <v>-6.5</v>
      </c>
      <c r="E8" s="2">
        <v>50</v>
      </c>
      <c r="F8">
        <v>32.799999999999997</v>
      </c>
      <c r="G8" s="1">
        <f t="shared" si="1"/>
        <v>-6.4000000000000057</v>
      </c>
    </row>
    <row r="9" spans="1:7" x14ac:dyDescent="0.25">
      <c r="A9" s="1">
        <v>60</v>
      </c>
      <c r="B9">
        <v>31.8</v>
      </c>
      <c r="C9">
        <f t="shared" si="0"/>
        <v>-7.5999999999999979</v>
      </c>
      <c r="E9" s="2">
        <v>60</v>
      </c>
      <c r="F9">
        <v>31.6</v>
      </c>
      <c r="G9" s="1">
        <f t="shared" si="1"/>
        <v>-7.6000000000000014</v>
      </c>
    </row>
    <row r="10" spans="1:7" x14ac:dyDescent="0.25">
      <c r="A10" s="1">
        <v>70</v>
      </c>
      <c r="B10">
        <v>29.6</v>
      </c>
      <c r="C10">
        <f t="shared" si="0"/>
        <v>-9.7999999999999972</v>
      </c>
      <c r="E10" s="2">
        <v>70</v>
      </c>
      <c r="F10">
        <v>29.4</v>
      </c>
      <c r="G10" s="1">
        <f t="shared" si="1"/>
        <v>-9.8000000000000043</v>
      </c>
    </row>
    <row r="11" spans="1:7" x14ac:dyDescent="0.25">
      <c r="A11" s="1">
        <v>80</v>
      </c>
      <c r="B11">
        <v>28.7</v>
      </c>
      <c r="C11">
        <f t="shared" si="0"/>
        <v>-10.7</v>
      </c>
      <c r="E11" s="2">
        <v>80</v>
      </c>
      <c r="F11">
        <v>27.4</v>
      </c>
      <c r="G11" s="1">
        <f t="shared" si="1"/>
        <v>-11.800000000000004</v>
      </c>
    </row>
    <row r="12" spans="1:7" x14ac:dyDescent="0.25">
      <c r="A12" s="1">
        <v>90</v>
      </c>
      <c r="B12">
        <v>10.8</v>
      </c>
      <c r="C12">
        <f t="shared" si="0"/>
        <v>-28.599999999999998</v>
      </c>
      <c r="E12" s="2">
        <v>90</v>
      </c>
      <c r="F12">
        <v>11.4</v>
      </c>
      <c r="G12" s="1">
        <f t="shared" si="1"/>
        <v>-27.800000000000004</v>
      </c>
    </row>
    <row r="13" spans="1:7" x14ac:dyDescent="0.25">
      <c r="A13" s="1">
        <v>100</v>
      </c>
      <c r="B13">
        <v>16.899999999999999</v>
      </c>
      <c r="C13">
        <f t="shared" si="0"/>
        <v>-22.5</v>
      </c>
      <c r="E13" s="2">
        <v>100</v>
      </c>
      <c r="F13">
        <v>18</v>
      </c>
      <c r="G13" s="1">
        <f t="shared" si="1"/>
        <v>-21.200000000000003</v>
      </c>
    </row>
    <row r="14" spans="1:7" x14ac:dyDescent="0.25">
      <c r="A14" s="1">
        <v>110</v>
      </c>
      <c r="B14">
        <v>13.8</v>
      </c>
      <c r="C14">
        <f t="shared" si="0"/>
        <v>-25.599999999999998</v>
      </c>
      <c r="E14" s="2">
        <v>110</v>
      </c>
      <c r="F14">
        <v>15.5</v>
      </c>
      <c r="G14" s="1">
        <f t="shared" si="1"/>
        <v>-23.700000000000003</v>
      </c>
    </row>
    <row r="15" spans="1:7" x14ac:dyDescent="0.25">
      <c r="A15" s="1">
        <v>120</v>
      </c>
      <c r="B15">
        <v>12.1</v>
      </c>
      <c r="C15">
        <f t="shared" si="0"/>
        <v>-27.299999999999997</v>
      </c>
      <c r="E15" s="2">
        <v>120</v>
      </c>
      <c r="F15">
        <v>20</v>
      </c>
      <c r="G15" s="1">
        <f t="shared" si="1"/>
        <v>-19.200000000000003</v>
      </c>
    </row>
    <row r="16" spans="1:7" x14ac:dyDescent="0.25">
      <c r="A16" s="1">
        <v>130</v>
      </c>
      <c r="B16">
        <v>18.100000000000001</v>
      </c>
      <c r="C16">
        <f t="shared" si="0"/>
        <v>-21.299999999999997</v>
      </c>
      <c r="E16" s="2">
        <v>130</v>
      </c>
      <c r="F16">
        <v>28.6</v>
      </c>
      <c r="G16" s="1">
        <f t="shared" si="1"/>
        <v>-10.600000000000001</v>
      </c>
    </row>
    <row r="17" spans="1:7" x14ac:dyDescent="0.25">
      <c r="A17" s="1">
        <v>140</v>
      </c>
      <c r="B17" s="3">
        <v>16.399999999999999</v>
      </c>
      <c r="C17">
        <f t="shared" si="0"/>
        <v>-23</v>
      </c>
      <c r="E17" s="2">
        <v>140</v>
      </c>
      <c r="F17" s="3">
        <v>18</v>
      </c>
      <c r="G17" s="1">
        <f t="shared" si="1"/>
        <v>-21.200000000000003</v>
      </c>
    </row>
    <row r="18" spans="1:7" x14ac:dyDescent="0.25">
      <c r="A18" s="1">
        <v>150</v>
      </c>
      <c r="B18">
        <v>26.2</v>
      </c>
      <c r="C18">
        <f t="shared" si="0"/>
        <v>-13.2</v>
      </c>
      <c r="E18" s="2">
        <v>150</v>
      </c>
      <c r="F18">
        <v>27.3</v>
      </c>
      <c r="G18" s="1">
        <f t="shared" si="1"/>
        <v>-11.900000000000002</v>
      </c>
    </row>
    <row r="19" spans="1:7" x14ac:dyDescent="0.25">
      <c r="A19" s="1">
        <v>160</v>
      </c>
      <c r="B19">
        <v>32.4</v>
      </c>
      <c r="C19">
        <f t="shared" si="0"/>
        <v>-7</v>
      </c>
      <c r="E19" s="2">
        <v>160</v>
      </c>
      <c r="F19">
        <v>31.2</v>
      </c>
      <c r="G19" s="1">
        <f t="shared" si="1"/>
        <v>-8.0000000000000036</v>
      </c>
    </row>
    <row r="20" spans="1:7" x14ac:dyDescent="0.25">
      <c r="A20" s="1">
        <v>170</v>
      </c>
      <c r="B20">
        <v>32.299999999999997</v>
      </c>
      <c r="C20">
        <f t="shared" si="0"/>
        <v>-7.1000000000000014</v>
      </c>
      <c r="E20" s="2">
        <v>170</v>
      </c>
      <c r="F20">
        <v>31.7</v>
      </c>
      <c r="G20" s="1">
        <f t="shared" si="1"/>
        <v>-7.5000000000000036</v>
      </c>
    </row>
    <row r="21" spans="1:7" x14ac:dyDescent="0.25">
      <c r="A21" s="1">
        <v>180</v>
      </c>
      <c r="B21">
        <v>20.3</v>
      </c>
      <c r="C21">
        <f t="shared" si="0"/>
        <v>-19.099999999999998</v>
      </c>
      <c r="E21" s="2">
        <v>180</v>
      </c>
      <c r="F21" s="3">
        <v>22</v>
      </c>
      <c r="G21" s="1">
        <f t="shared" si="1"/>
        <v>-17.200000000000003</v>
      </c>
    </row>
    <row r="22" spans="1:7" x14ac:dyDescent="0.25">
      <c r="A22" s="1">
        <v>190</v>
      </c>
      <c r="B22">
        <v>31.8</v>
      </c>
      <c r="C22">
        <f t="shared" si="0"/>
        <v>-7.5999999999999979</v>
      </c>
      <c r="E22" s="2">
        <v>190</v>
      </c>
      <c r="F22">
        <v>23</v>
      </c>
      <c r="G22" s="1">
        <f t="shared" si="1"/>
        <v>-16.200000000000003</v>
      </c>
    </row>
    <row r="23" spans="1:7" x14ac:dyDescent="0.25">
      <c r="A23" s="1">
        <v>200</v>
      </c>
      <c r="B23">
        <v>30.1</v>
      </c>
      <c r="C23">
        <f t="shared" si="0"/>
        <v>-9.2999999999999972</v>
      </c>
      <c r="E23" s="2">
        <v>200</v>
      </c>
      <c r="F23">
        <v>28</v>
      </c>
      <c r="G23" s="1">
        <f t="shared" si="1"/>
        <v>-11.200000000000003</v>
      </c>
    </row>
    <row r="24" spans="1:7" x14ac:dyDescent="0.25">
      <c r="A24" s="1">
        <v>210</v>
      </c>
      <c r="B24">
        <v>30.5</v>
      </c>
      <c r="C24">
        <f t="shared" si="0"/>
        <v>-8.8999999999999986</v>
      </c>
      <c r="E24" s="2">
        <v>210</v>
      </c>
      <c r="F24">
        <v>31</v>
      </c>
      <c r="G24" s="1">
        <f t="shared" si="1"/>
        <v>-8.2000000000000028</v>
      </c>
    </row>
    <row r="25" spans="1:7" x14ac:dyDescent="0.25">
      <c r="A25" s="1">
        <v>220</v>
      </c>
      <c r="B25">
        <v>29.5</v>
      </c>
      <c r="C25">
        <f t="shared" si="0"/>
        <v>-9.8999999999999986</v>
      </c>
      <c r="E25" s="2">
        <v>220</v>
      </c>
      <c r="F25">
        <v>29.8</v>
      </c>
      <c r="G25" s="1">
        <f t="shared" si="1"/>
        <v>-9.4000000000000021</v>
      </c>
    </row>
    <row r="26" spans="1:7" x14ac:dyDescent="0.25">
      <c r="A26" s="1">
        <v>230</v>
      </c>
      <c r="B26">
        <v>28.4</v>
      </c>
      <c r="C26">
        <f t="shared" si="0"/>
        <v>-11</v>
      </c>
      <c r="E26" s="2">
        <v>230</v>
      </c>
      <c r="F26">
        <v>28.3</v>
      </c>
      <c r="G26" s="1">
        <f t="shared" si="1"/>
        <v>-10.900000000000002</v>
      </c>
    </row>
    <row r="27" spans="1:7" x14ac:dyDescent="0.25">
      <c r="A27" s="1">
        <v>240</v>
      </c>
      <c r="B27">
        <v>27.5</v>
      </c>
      <c r="C27">
        <f t="shared" si="0"/>
        <v>-11.899999999999999</v>
      </c>
      <c r="E27" s="2">
        <v>240</v>
      </c>
      <c r="F27">
        <v>26.4</v>
      </c>
      <c r="G27" s="1">
        <f t="shared" si="1"/>
        <v>-12.800000000000004</v>
      </c>
    </row>
    <row r="28" spans="1:7" x14ac:dyDescent="0.25">
      <c r="A28" s="1">
        <v>250</v>
      </c>
      <c r="B28">
        <v>24.4</v>
      </c>
      <c r="C28">
        <f t="shared" si="0"/>
        <v>-15</v>
      </c>
      <c r="E28" s="2">
        <v>250</v>
      </c>
      <c r="F28">
        <v>20.6</v>
      </c>
      <c r="G28" s="1">
        <f t="shared" si="1"/>
        <v>-18.600000000000001</v>
      </c>
    </row>
    <row r="29" spans="1:7" x14ac:dyDescent="0.25">
      <c r="A29" s="1">
        <v>260</v>
      </c>
      <c r="B29">
        <v>18.5</v>
      </c>
      <c r="C29">
        <f t="shared" si="0"/>
        <v>-20.9</v>
      </c>
      <c r="E29" s="2">
        <v>260</v>
      </c>
      <c r="F29">
        <v>15.3</v>
      </c>
      <c r="G29" s="1">
        <f t="shared" si="1"/>
        <v>-23.900000000000002</v>
      </c>
    </row>
    <row r="30" spans="1:7" x14ac:dyDescent="0.25">
      <c r="A30" s="1">
        <v>270</v>
      </c>
      <c r="B30">
        <v>25.4</v>
      </c>
      <c r="C30">
        <f t="shared" si="0"/>
        <v>-14</v>
      </c>
      <c r="E30" s="2">
        <v>270</v>
      </c>
      <c r="F30">
        <v>28</v>
      </c>
      <c r="G30" s="1">
        <f t="shared" si="1"/>
        <v>-11.200000000000003</v>
      </c>
    </row>
    <row r="31" spans="1:7" x14ac:dyDescent="0.25">
      <c r="A31" s="1">
        <v>280</v>
      </c>
      <c r="B31">
        <v>16.899999999999999</v>
      </c>
      <c r="C31">
        <f t="shared" si="0"/>
        <v>-22.5</v>
      </c>
      <c r="E31" s="2">
        <v>280</v>
      </c>
      <c r="F31">
        <v>26.5</v>
      </c>
      <c r="G31" s="1">
        <f t="shared" si="1"/>
        <v>-12.700000000000003</v>
      </c>
    </row>
    <row r="32" spans="1:7" x14ac:dyDescent="0.25">
      <c r="A32" s="1">
        <v>290</v>
      </c>
      <c r="B32">
        <v>25</v>
      </c>
      <c r="C32">
        <f t="shared" si="0"/>
        <v>-14.399999999999999</v>
      </c>
      <c r="E32" s="2">
        <v>290</v>
      </c>
      <c r="F32">
        <v>22.5</v>
      </c>
      <c r="G32" s="1">
        <f t="shared" si="1"/>
        <v>-16.700000000000003</v>
      </c>
    </row>
    <row r="33" spans="1:7" x14ac:dyDescent="0.25">
      <c r="A33" s="1">
        <v>300</v>
      </c>
      <c r="B33">
        <v>30</v>
      </c>
      <c r="C33">
        <f t="shared" si="0"/>
        <v>-9.3999999999999986</v>
      </c>
      <c r="E33" s="2">
        <v>300</v>
      </c>
      <c r="F33">
        <v>29.7</v>
      </c>
      <c r="G33" s="1">
        <f t="shared" si="1"/>
        <v>-9.5000000000000036</v>
      </c>
    </row>
    <row r="34" spans="1:7" x14ac:dyDescent="0.25">
      <c r="A34" s="1">
        <v>310</v>
      </c>
      <c r="B34">
        <v>34.4</v>
      </c>
      <c r="C34">
        <f t="shared" si="0"/>
        <v>-5</v>
      </c>
      <c r="E34" s="2">
        <v>310</v>
      </c>
      <c r="F34">
        <v>34.200000000000003</v>
      </c>
      <c r="G34" s="1">
        <f t="shared" si="1"/>
        <v>-5</v>
      </c>
    </row>
    <row r="35" spans="1:7" x14ac:dyDescent="0.25">
      <c r="A35" s="1">
        <v>320</v>
      </c>
      <c r="B35">
        <v>36.200000000000003</v>
      </c>
      <c r="C35">
        <f t="shared" si="0"/>
        <v>-3.1999999999999957</v>
      </c>
      <c r="E35" s="2">
        <v>320</v>
      </c>
      <c r="F35">
        <v>36.299999999999997</v>
      </c>
      <c r="G35" s="1">
        <f t="shared" si="1"/>
        <v>-2.9000000000000057</v>
      </c>
    </row>
    <row r="36" spans="1:7" x14ac:dyDescent="0.25">
      <c r="A36" s="1">
        <v>330</v>
      </c>
      <c r="B36">
        <v>35</v>
      </c>
      <c r="C36">
        <f t="shared" si="0"/>
        <v>-4.3999999999999986</v>
      </c>
      <c r="E36" s="2">
        <v>330</v>
      </c>
      <c r="F36">
        <v>38</v>
      </c>
      <c r="G36" s="1">
        <f t="shared" si="1"/>
        <v>-1.2000000000000028</v>
      </c>
    </row>
    <row r="37" spans="1:7" x14ac:dyDescent="0.25">
      <c r="A37" s="1">
        <v>340</v>
      </c>
      <c r="B37">
        <v>38.1</v>
      </c>
      <c r="C37">
        <f t="shared" si="0"/>
        <v>-1.2999999999999972</v>
      </c>
      <c r="E37" s="2">
        <v>340</v>
      </c>
      <c r="F37">
        <v>39.200000000000003</v>
      </c>
      <c r="G37" s="1">
        <f t="shared" si="1"/>
        <v>0</v>
      </c>
    </row>
    <row r="38" spans="1:7" x14ac:dyDescent="0.25">
      <c r="A38" s="1">
        <v>350</v>
      </c>
      <c r="B38">
        <v>37.5</v>
      </c>
      <c r="C38">
        <f t="shared" si="0"/>
        <v>-1.8999999999999986</v>
      </c>
      <c r="E38" s="2">
        <v>350</v>
      </c>
      <c r="F38">
        <v>38</v>
      </c>
      <c r="G38" s="1">
        <f t="shared" si="1"/>
        <v>-1.2000000000000028</v>
      </c>
    </row>
    <row r="39" spans="1:7" x14ac:dyDescent="0.25">
      <c r="A39" s="1">
        <v>360</v>
      </c>
      <c r="B39">
        <v>34.799999999999997</v>
      </c>
      <c r="C39">
        <f t="shared" si="0"/>
        <v>-4.6000000000000014</v>
      </c>
      <c r="E39" s="2">
        <v>360</v>
      </c>
      <c r="G39" s="1"/>
    </row>
  </sheetData>
  <mergeCells count="2">
    <mergeCell ref="A1:B1"/>
    <mergeCell ref="E1:F1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F1CB-C6D3-4585-884C-CCBD06C68F06}">
  <dimension ref="A1:G39"/>
  <sheetViews>
    <sheetView zoomScale="56" workbookViewId="0">
      <selection activeCell="L22" sqref="L22"/>
    </sheetView>
  </sheetViews>
  <sheetFormatPr defaultRowHeight="15" x14ac:dyDescent="0.25"/>
  <sheetData>
    <row r="1" spans="1:7" x14ac:dyDescent="0.25">
      <c r="A1" s="4" t="s">
        <v>3</v>
      </c>
      <c r="B1" s="4"/>
      <c r="E1" s="4" t="s">
        <v>4</v>
      </c>
      <c r="F1" s="4"/>
    </row>
    <row r="2" spans="1:7" x14ac:dyDescent="0.25">
      <c r="A2" s="1" t="s">
        <v>0</v>
      </c>
      <c r="B2" s="1" t="s">
        <v>1</v>
      </c>
      <c r="C2" s="1"/>
      <c r="E2" s="1" t="s">
        <v>0</v>
      </c>
      <c r="F2" s="1" t="s">
        <v>2</v>
      </c>
    </row>
    <row r="3" spans="1:7" x14ac:dyDescent="0.25">
      <c r="A3" s="1">
        <v>0</v>
      </c>
      <c r="B3">
        <v>38.299999999999997</v>
      </c>
      <c r="C3">
        <f>B3-40.6</f>
        <v>-2.3000000000000043</v>
      </c>
      <c r="E3" s="2">
        <v>0</v>
      </c>
      <c r="F3">
        <v>37.700000000000003</v>
      </c>
      <c r="G3" s="1">
        <f>F3-40.1</f>
        <v>-2.3999999999999986</v>
      </c>
    </row>
    <row r="4" spans="1:7" x14ac:dyDescent="0.25">
      <c r="A4" s="1">
        <v>10</v>
      </c>
      <c r="B4">
        <v>32.9</v>
      </c>
      <c r="C4">
        <f t="shared" ref="C4:C39" si="0">B4-40.6</f>
        <v>-7.7000000000000028</v>
      </c>
      <c r="E4" s="2">
        <v>10</v>
      </c>
      <c r="F4">
        <v>33</v>
      </c>
      <c r="G4" s="1">
        <f t="shared" ref="G4:G39" si="1">F4-40.1</f>
        <v>-7.1000000000000014</v>
      </c>
    </row>
    <row r="5" spans="1:7" x14ac:dyDescent="0.25">
      <c r="A5" s="1">
        <v>20</v>
      </c>
      <c r="B5">
        <v>28.9</v>
      </c>
      <c r="C5">
        <f t="shared" si="0"/>
        <v>-11.700000000000003</v>
      </c>
      <c r="E5" s="2">
        <v>20</v>
      </c>
      <c r="F5">
        <v>26</v>
      </c>
      <c r="G5" s="1">
        <f t="shared" si="1"/>
        <v>-14.100000000000001</v>
      </c>
    </row>
    <row r="6" spans="1:7" x14ac:dyDescent="0.25">
      <c r="A6" s="1">
        <v>30</v>
      </c>
      <c r="B6">
        <v>28</v>
      </c>
      <c r="C6">
        <f t="shared" si="0"/>
        <v>-12.600000000000001</v>
      </c>
      <c r="E6" s="2">
        <v>30</v>
      </c>
      <c r="F6">
        <v>27.8</v>
      </c>
      <c r="G6" s="1">
        <f t="shared" si="1"/>
        <v>-12.3</v>
      </c>
    </row>
    <row r="7" spans="1:7" x14ac:dyDescent="0.25">
      <c r="A7" s="1">
        <v>40</v>
      </c>
      <c r="B7">
        <v>30</v>
      </c>
      <c r="C7">
        <f t="shared" si="0"/>
        <v>-10.600000000000001</v>
      </c>
      <c r="E7" s="2">
        <v>40</v>
      </c>
      <c r="F7">
        <v>29.2</v>
      </c>
      <c r="G7" s="1">
        <f t="shared" si="1"/>
        <v>-10.900000000000002</v>
      </c>
    </row>
    <row r="8" spans="1:7" x14ac:dyDescent="0.25">
      <c r="A8" s="1">
        <v>50</v>
      </c>
      <c r="B8">
        <v>28.9</v>
      </c>
      <c r="C8">
        <f t="shared" si="0"/>
        <v>-11.700000000000003</v>
      </c>
      <c r="E8" s="2">
        <v>50</v>
      </c>
      <c r="F8">
        <v>29.4</v>
      </c>
      <c r="G8" s="1">
        <f t="shared" si="1"/>
        <v>-10.700000000000003</v>
      </c>
    </row>
    <row r="9" spans="1:7" x14ac:dyDescent="0.25">
      <c r="A9" s="1">
        <v>60</v>
      </c>
      <c r="B9">
        <v>24</v>
      </c>
      <c r="C9">
        <f t="shared" si="0"/>
        <v>-16.600000000000001</v>
      </c>
      <c r="E9" s="2">
        <v>60</v>
      </c>
      <c r="F9">
        <v>23.4</v>
      </c>
      <c r="G9" s="1">
        <f t="shared" si="1"/>
        <v>-16.700000000000003</v>
      </c>
    </row>
    <row r="10" spans="1:7" x14ac:dyDescent="0.25">
      <c r="A10" s="1">
        <v>70</v>
      </c>
      <c r="B10">
        <v>20</v>
      </c>
      <c r="C10">
        <f t="shared" si="0"/>
        <v>-20.6</v>
      </c>
      <c r="E10" s="2">
        <v>70</v>
      </c>
      <c r="F10">
        <v>17</v>
      </c>
      <c r="G10" s="1">
        <f t="shared" si="1"/>
        <v>-23.1</v>
      </c>
    </row>
    <row r="11" spans="1:7" x14ac:dyDescent="0.25">
      <c r="A11" s="1">
        <v>80</v>
      </c>
      <c r="B11">
        <v>26</v>
      </c>
      <c r="C11">
        <f t="shared" si="0"/>
        <v>-14.600000000000001</v>
      </c>
      <c r="E11" s="2">
        <v>80</v>
      </c>
      <c r="F11">
        <v>25.7</v>
      </c>
      <c r="G11" s="1">
        <f t="shared" si="1"/>
        <v>-14.400000000000002</v>
      </c>
    </row>
    <row r="12" spans="1:7" x14ac:dyDescent="0.25">
      <c r="A12" s="1">
        <v>90</v>
      </c>
      <c r="B12">
        <v>21</v>
      </c>
      <c r="C12">
        <f t="shared" si="0"/>
        <v>-19.600000000000001</v>
      </c>
      <c r="E12" s="2">
        <v>90</v>
      </c>
      <c r="F12">
        <v>25</v>
      </c>
      <c r="G12" s="1">
        <f t="shared" si="1"/>
        <v>-15.100000000000001</v>
      </c>
    </row>
    <row r="13" spans="1:7" x14ac:dyDescent="0.25">
      <c r="A13" s="1">
        <v>100</v>
      </c>
      <c r="B13">
        <v>35</v>
      </c>
      <c r="C13">
        <f t="shared" si="0"/>
        <v>-5.6000000000000014</v>
      </c>
      <c r="E13" s="2">
        <v>100</v>
      </c>
      <c r="F13">
        <v>34</v>
      </c>
      <c r="G13" s="1">
        <f t="shared" si="1"/>
        <v>-6.1000000000000014</v>
      </c>
    </row>
    <row r="14" spans="1:7" x14ac:dyDescent="0.25">
      <c r="A14" s="1">
        <v>110</v>
      </c>
      <c r="B14">
        <v>35.6</v>
      </c>
      <c r="C14">
        <f t="shared" si="0"/>
        <v>-5</v>
      </c>
      <c r="E14" s="2">
        <v>110</v>
      </c>
      <c r="F14">
        <v>38</v>
      </c>
      <c r="G14" s="1">
        <f t="shared" si="1"/>
        <v>-2.1000000000000014</v>
      </c>
    </row>
    <row r="15" spans="1:7" x14ac:dyDescent="0.25">
      <c r="A15" s="1">
        <v>120</v>
      </c>
      <c r="B15">
        <v>37.6</v>
      </c>
      <c r="C15">
        <f t="shared" si="0"/>
        <v>-3</v>
      </c>
      <c r="E15" s="2">
        <v>120</v>
      </c>
      <c r="F15">
        <v>37.200000000000003</v>
      </c>
      <c r="G15" s="1">
        <f t="shared" si="1"/>
        <v>-2.8999999999999986</v>
      </c>
    </row>
    <row r="16" spans="1:7" x14ac:dyDescent="0.25">
      <c r="A16" s="1">
        <v>130</v>
      </c>
      <c r="B16">
        <v>36.6</v>
      </c>
      <c r="C16">
        <f t="shared" si="0"/>
        <v>-4</v>
      </c>
      <c r="E16" s="2">
        <v>130</v>
      </c>
      <c r="F16">
        <v>36</v>
      </c>
      <c r="G16" s="1">
        <f t="shared" si="1"/>
        <v>-4.1000000000000014</v>
      </c>
    </row>
    <row r="17" spans="1:7" x14ac:dyDescent="0.25">
      <c r="A17" s="1">
        <v>140</v>
      </c>
      <c r="B17" s="3">
        <v>32.6</v>
      </c>
      <c r="C17">
        <f t="shared" si="0"/>
        <v>-8</v>
      </c>
      <c r="E17" s="2">
        <v>140</v>
      </c>
      <c r="F17" s="3">
        <v>32.1</v>
      </c>
      <c r="G17" s="1">
        <f t="shared" si="1"/>
        <v>-8</v>
      </c>
    </row>
    <row r="18" spans="1:7" x14ac:dyDescent="0.25">
      <c r="A18" s="1">
        <v>150</v>
      </c>
      <c r="B18">
        <v>30</v>
      </c>
      <c r="C18">
        <f t="shared" si="0"/>
        <v>-10.600000000000001</v>
      </c>
      <c r="E18" s="2">
        <v>150</v>
      </c>
      <c r="F18">
        <v>29.8</v>
      </c>
      <c r="G18" s="1">
        <f t="shared" si="1"/>
        <v>-10.3</v>
      </c>
    </row>
    <row r="19" spans="1:7" x14ac:dyDescent="0.25">
      <c r="A19" s="1">
        <v>160</v>
      </c>
      <c r="B19">
        <v>24</v>
      </c>
      <c r="C19">
        <f t="shared" si="0"/>
        <v>-16.600000000000001</v>
      </c>
      <c r="E19" s="2">
        <v>160</v>
      </c>
      <c r="F19">
        <v>27.3</v>
      </c>
      <c r="G19" s="1">
        <f t="shared" si="1"/>
        <v>-12.8</v>
      </c>
    </row>
    <row r="20" spans="1:7" x14ac:dyDescent="0.25">
      <c r="A20" s="1">
        <v>170</v>
      </c>
      <c r="B20">
        <v>26.2</v>
      </c>
      <c r="C20">
        <f t="shared" si="0"/>
        <v>-14.400000000000002</v>
      </c>
      <c r="E20" s="2">
        <v>170</v>
      </c>
      <c r="F20">
        <v>28.8</v>
      </c>
      <c r="G20" s="1">
        <f t="shared" si="1"/>
        <v>-11.3</v>
      </c>
    </row>
    <row r="21" spans="1:7" x14ac:dyDescent="0.25">
      <c r="A21" s="1">
        <v>180</v>
      </c>
      <c r="B21">
        <v>32</v>
      </c>
      <c r="C21">
        <f t="shared" si="0"/>
        <v>-8.6000000000000014</v>
      </c>
      <c r="E21" s="2">
        <v>180</v>
      </c>
      <c r="F21" s="3">
        <v>31.8</v>
      </c>
      <c r="G21" s="1">
        <f t="shared" si="1"/>
        <v>-8.3000000000000007</v>
      </c>
    </row>
    <row r="22" spans="1:7" x14ac:dyDescent="0.25">
      <c r="A22" s="1">
        <v>190</v>
      </c>
      <c r="B22">
        <v>31</v>
      </c>
      <c r="C22">
        <f t="shared" si="0"/>
        <v>-9.6000000000000014</v>
      </c>
      <c r="E22" s="2">
        <v>190</v>
      </c>
      <c r="F22">
        <v>30.7</v>
      </c>
      <c r="G22" s="1">
        <f t="shared" si="1"/>
        <v>-9.4000000000000021</v>
      </c>
    </row>
    <row r="23" spans="1:7" x14ac:dyDescent="0.25">
      <c r="A23" s="1">
        <v>200</v>
      </c>
      <c r="B23">
        <v>28.4</v>
      </c>
      <c r="C23">
        <f t="shared" si="0"/>
        <v>-12.200000000000003</v>
      </c>
      <c r="E23" s="2">
        <v>200</v>
      </c>
      <c r="F23">
        <v>29.3</v>
      </c>
      <c r="G23" s="1">
        <f t="shared" si="1"/>
        <v>-10.8</v>
      </c>
    </row>
    <row r="24" spans="1:7" x14ac:dyDescent="0.25">
      <c r="A24" s="1">
        <v>210</v>
      </c>
      <c r="B24">
        <v>28</v>
      </c>
      <c r="C24">
        <f t="shared" si="0"/>
        <v>-12.600000000000001</v>
      </c>
      <c r="E24" s="2">
        <v>210</v>
      </c>
      <c r="F24">
        <v>27.2</v>
      </c>
      <c r="G24" s="1">
        <f t="shared" si="1"/>
        <v>-12.900000000000002</v>
      </c>
    </row>
    <row r="25" spans="1:7" x14ac:dyDescent="0.25">
      <c r="A25" s="1">
        <v>220</v>
      </c>
      <c r="B25">
        <v>29.4</v>
      </c>
      <c r="C25">
        <f t="shared" si="0"/>
        <v>-11.200000000000003</v>
      </c>
      <c r="E25" s="2">
        <v>220</v>
      </c>
      <c r="F25">
        <v>29.2</v>
      </c>
      <c r="G25" s="1">
        <f t="shared" si="1"/>
        <v>-10.900000000000002</v>
      </c>
    </row>
    <row r="26" spans="1:7" x14ac:dyDescent="0.25">
      <c r="A26" s="1">
        <v>230</v>
      </c>
      <c r="B26">
        <v>24.5</v>
      </c>
      <c r="C26">
        <f t="shared" si="0"/>
        <v>-16.100000000000001</v>
      </c>
      <c r="E26" s="2">
        <v>230</v>
      </c>
      <c r="F26">
        <v>27</v>
      </c>
      <c r="G26" s="1">
        <f t="shared" si="1"/>
        <v>-13.100000000000001</v>
      </c>
    </row>
    <row r="27" spans="1:7" x14ac:dyDescent="0.25">
      <c r="A27" s="1">
        <v>240</v>
      </c>
      <c r="B27">
        <v>18.899999999999999</v>
      </c>
      <c r="C27">
        <f t="shared" si="0"/>
        <v>-21.700000000000003</v>
      </c>
      <c r="E27" s="2">
        <v>240</v>
      </c>
      <c r="F27">
        <v>20.100000000000001</v>
      </c>
      <c r="G27" s="1">
        <f t="shared" si="1"/>
        <v>-20</v>
      </c>
    </row>
    <row r="28" spans="1:7" x14ac:dyDescent="0.25">
      <c r="A28" s="1">
        <v>250</v>
      </c>
      <c r="B28">
        <v>14.4</v>
      </c>
      <c r="C28">
        <f t="shared" si="0"/>
        <v>-26.200000000000003</v>
      </c>
      <c r="E28" s="2">
        <v>250</v>
      </c>
      <c r="F28">
        <v>17.600000000000001</v>
      </c>
      <c r="G28" s="1">
        <f t="shared" si="1"/>
        <v>-22.5</v>
      </c>
    </row>
    <row r="29" spans="1:7" x14ac:dyDescent="0.25">
      <c r="A29" s="1">
        <v>260</v>
      </c>
      <c r="B29">
        <v>18.100000000000001</v>
      </c>
      <c r="C29">
        <f t="shared" si="0"/>
        <v>-22.5</v>
      </c>
      <c r="E29" s="2">
        <v>260</v>
      </c>
      <c r="F29">
        <v>19</v>
      </c>
      <c r="G29" s="1">
        <f t="shared" si="1"/>
        <v>-21.1</v>
      </c>
    </row>
    <row r="30" spans="1:7" x14ac:dyDescent="0.25">
      <c r="A30" s="1">
        <v>270</v>
      </c>
      <c r="B30">
        <v>29.2</v>
      </c>
      <c r="C30">
        <f t="shared" si="0"/>
        <v>-11.400000000000002</v>
      </c>
      <c r="E30" s="2">
        <v>270</v>
      </c>
      <c r="F30">
        <v>28.7</v>
      </c>
      <c r="G30" s="1">
        <f t="shared" si="1"/>
        <v>-11.400000000000002</v>
      </c>
    </row>
    <row r="31" spans="1:7" x14ac:dyDescent="0.25">
      <c r="A31" s="1">
        <v>280</v>
      </c>
      <c r="B31">
        <v>35.4</v>
      </c>
      <c r="C31">
        <f t="shared" si="0"/>
        <v>-5.2000000000000028</v>
      </c>
      <c r="E31" s="2">
        <v>280</v>
      </c>
      <c r="F31">
        <v>33.700000000000003</v>
      </c>
      <c r="G31" s="1">
        <f t="shared" si="1"/>
        <v>-6.3999999999999986</v>
      </c>
    </row>
    <row r="32" spans="1:7" x14ac:dyDescent="0.25">
      <c r="A32" s="1">
        <v>290</v>
      </c>
      <c r="B32">
        <v>34.9</v>
      </c>
      <c r="C32">
        <f t="shared" si="0"/>
        <v>-5.7000000000000028</v>
      </c>
      <c r="E32" s="2">
        <v>290</v>
      </c>
      <c r="F32">
        <v>34.700000000000003</v>
      </c>
      <c r="G32" s="1">
        <f t="shared" si="1"/>
        <v>-5.3999999999999986</v>
      </c>
    </row>
    <row r="33" spans="1:7" x14ac:dyDescent="0.25">
      <c r="A33" s="1">
        <v>300</v>
      </c>
      <c r="B33">
        <v>35.6</v>
      </c>
      <c r="C33">
        <f t="shared" si="0"/>
        <v>-5</v>
      </c>
      <c r="E33" s="2">
        <v>300</v>
      </c>
      <c r="F33">
        <v>35.200000000000003</v>
      </c>
      <c r="G33" s="1">
        <f t="shared" si="1"/>
        <v>-4.8999999999999986</v>
      </c>
    </row>
    <row r="34" spans="1:7" x14ac:dyDescent="0.25">
      <c r="A34" s="1">
        <v>310</v>
      </c>
      <c r="B34">
        <v>36.200000000000003</v>
      </c>
      <c r="C34">
        <f t="shared" si="0"/>
        <v>-4.3999999999999986</v>
      </c>
      <c r="E34" s="2">
        <v>310</v>
      </c>
      <c r="F34">
        <v>37.1</v>
      </c>
      <c r="G34" s="1">
        <f t="shared" si="1"/>
        <v>-3</v>
      </c>
    </row>
    <row r="35" spans="1:7" x14ac:dyDescent="0.25">
      <c r="A35" s="1">
        <v>320</v>
      </c>
      <c r="B35">
        <v>37</v>
      </c>
      <c r="C35">
        <f t="shared" si="0"/>
        <v>-3.6000000000000014</v>
      </c>
      <c r="E35" s="2">
        <v>320</v>
      </c>
      <c r="F35">
        <v>35.6</v>
      </c>
      <c r="G35" s="1">
        <f t="shared" si="1"/>
        <v>-4.5</v>
      </c>
    </row>
    <row r="36" spans="1:7" x14ac:dyDescent="0.25">
      <c r="A36" s="1">
        <v>330</v>
      </c>
      <c r="B36">
        <v>39.299999999999997</v>
      </c>
      <c r="C36">
        <f t="shared" si="0"/>
        <v>-1.3000000000000043</v>
      </c>
      <c r="E36" s="2">
        <v>330</v>
      </c>
      <c r="F36">
        <v>38.6</v>
      </c>
      <c r="G36" s="1">
        <f t="shared" si="1"/>
        <v>-1.5</v>
      </c>
    </row>
    <row r="37" spans="1:7" x14ac:dyDescent="0.25">
      <c r="A37" s="1">
        <v>340</v>
      </c>
      <c r="B37">
        <v>40.200000000000003</v>
      </c>
      <c r="C37">
        <f t="shared" si="0"/>
        <v>-0.39999999999999858</v>
      </c>
      <c r="E37" s="2">
        <v>340</v>
      </c>
      <c r="F37">
        <v>39.9</v>
      </c>
      <c r="G37" s="1">
        <f t="shared" si="1"/>
        <v>-0.20000000000000284</v>
      </c>
    </row>
    <row r="38" spans="1:7" x14ac:dyDescent="0.25">
      <c r="A38" s="1">
        <v>350</v>
      </c>
      <c r="B38">
        <v>40.6</v>
      </c>
      <c r="C38">
        <f t="shared" si="0"/>
        <v>0</v>
      </c>
      <c r="E38" s="2">
        <v>350</v>
      </c>
      <c r="F38">
        <v>40.1</v>
      </c>
      <c r="G38" s="1">
        <f t="shared" si="1"/>
        <v>0</v>
      </c>
    </row>
    <row r="39" spans="1:7" x14ac:dyDescent="0.25">
      <c r="A39" s="1">
        <v>360</v>
      </c>
      <c r="B39">
        <v>38.299999999999997</v>
      </c>
      <c r="C39">
        <f t="shared" si="0"/>
        <v>-2.3000000000000043</v>
      </c>
      <c r="E39" s="2">
        <v>360</v>
      </c>
      <c r="F39">
        <v>37.700000000000003</v>
      </c>
      <c r="G39" s="1">
        <f t="shared" si="1"/>
        <v>-2.3999999999999986</v>
      </c>
    </row>
  </sheetData>
  <mergeCells count="2"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NADZIF PRAMESTI</dc:creator>
  <cp:lastModifiedBy>Dylan Wijaya</cp:lastModifiedBy>
  <cp:revision>1</cp:revision>
  <dcterms:created xsi:type="dcterms:W3CDTF">2023-09-19T01:12:08Z</dcterms:created>
  <dcterms:modified xsi:type="dcterms:W3CDTF">2023-11-09T14:48:53Z</dcterms:modified>
</cp:coreProperties>
</file>