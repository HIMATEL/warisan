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TA\OneDrive\Documents\"/>
    </mc:Choice>
  </mc:AlternateContent>
  <xr:revisionPtr revIDLastSave="0" documentId="13_ncr:1_{0115858E-4A2A-4446-8305-85339E5FB64A}" xr6:coauthVersionLast="47" xr6:coauthVersionMax="47" xr10:uidLastSave="{00000000-0000-0000-0000-000000000000}"/>
  <bookViews>
    <workbookView xWindow="-110" yWindow="-110" windowWidth="19420" windowHeight="10300" xr2:uid="{DE3D49A0-65C6-4E98-8A07-1F60C8ED6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3" i="1" l="1"/>
  <c r="F47" i="1"/>
  <c r="F45" i="1"/>
  <c r="F41" i="1"/>
  <c r="F39" i="1"/>
  <c r="F40" i="1"/>
  <c r="F42" i="1"/>
  <c r="F44" i="1"/>
  <c r="F46" i="1"/>
  <c r="F38" i="1"/>
  <c r="F54" i="1"/>
  <c r="F56" i="1"/>
  <c r="F58" i="1"/>
  <c r="F52" i="1"/>
  <c r="F50" i="1"/>
  <c r="F9" i="1"/>
  <c r="F12" i="1"/>
  <c r="U22" i="1"/>
  <c r="U23" i="1"/>
  <c r="U25" i="1"/>
  <c r="U26" i="1"/>
  <c r="U27" i="1"/>
  <c r="U29" i="1"/>
  <c r="U30" i="1"/>
  <c r="U31" i="1"/>
  <c r="U33" i="1"/>
  <c r="U34" i="1"/>
  <c r="U35" i="1"/>
  <c r="U21" i="1"/>
  <c r="T22" i="1"/>
  <c r="T23" i="1"/>
  <c r="T25" i="1"/>
  <c r="T26" i="1"/>
  <c r="T27" i="1"/>
  <c r="T29" i="1"/>
  <c r="T30" i="1"/>
  <c r="T31" i="1"/>
  <c r="T33" i="1"/>
  <c r="T34" i="1"/>
  <c r="T35" i="1"/>
  <c r="T21" i="1"/>
  <c r="U7" i="1"/>
  <c r="U8" i="1"/>
  <c r="U9" i="1"/>
  <c r="U11" i="1"/>
  <c r="U12" i="1"/>
  <c r="U13" i="1"/>
  <c r="U15" i="1"/>
  <c r="U16" i="1"/>
  <c r="U17" i="1"/>
  <c r="T11" i="1"/>
  <c r="T12" i="1"/>
  <c r="T13" i="1"/>
  <c r="T15" i="1"/>
  <c r="T16" i="1"/>
  <c r="T17" i="1"/>
  <c r="T9" i="1"/>
  <c r="T8" i="1"/>
  <c r="T7" i="1"/>
  <c r="U4" i="1"/>
  <c r="U5" i="1"/>
  <c r="U3" i="1"/>
  <c r="T4" i="1"/>
  <c r="T5" i="1"/>
  <c r="T3" i="1"/>
  <c r="C8" i="1"/>
  <c r="E11" i="1"/>
  <c r="D11" i="1"/>
  <c r="C11" i="1"/>
  <c r="E10" i="1"/>
  <c r="D10" i="1"/>
  <c r="C10" i="1"/>
  <c r="E9" i="1"/>
  <c r="D9" i="1"/>
  <c r="C9" i="1"/>
  <c r="E8" i="1"/>
  <c r="D8" i="1"/>
  <c r="K11" i="1"/>
  <c r="K12" i="1"/>
  <c r="K13" i="1"/>
  <c r="J11" i="1"/>
  <c r="J12" i="1"/>
  <c r="J13" i="1"/>
  <c r="J10" i="1"/>
  <c r="K10" i="1"/>
  <c r="I11" i="1"/>
  <c r="I12" i="1"/>
  <c r="I13" i="1"/>
  <c r="I10" i="1"/>
  <c r="V22" i="1" l="1"/>
  <c r="X22" i="1" s="1"/>
  <c r="V33" i="1"/>
  <c r="W33" i="1" s="1"/>
  <c r="V25" i="1"/>
  <c r="W25" i="1" s="1"/>
  <c r="V23" i="1"/>
  <c r="W23" i="1" s="1"/>
  <c r="V13" i="1"/>
  <c r="W13" i="1" s="1"/>
  <c r="V31" i="1"/>
  <c r="X31" i="1" s="1"/>
  <c r="V17" i="1"/>
  <c r="X17" i="1" s="1"/>
  <c r="V9" i="1"/>
  <c r="X9" i="1" s="1"/>
  <c r="V7" i="1"/>
  <c r="X7" i="1" s="1"/>
  <c r="V3" i="1"/>
  <c r="W3" i="1" s="1"/>
  <c r="V4" i="1"/>
  <c r="W4" i="1" s="1"/>
  <c r="V30" i="1"/>
  <c r="W30" i="1" s="1"/>
  <c r="V8" i="1"/>
  <c r="X8" i="1" s="1"/>
  <c r="V29" i="1"/>
  <c r="W29" i="1" s="1"/>
  <c r="V5" i="1"/>
  <c r="W5" i="1" s="1"/>
  <c r="V27" i="1"/>
  <c r="X27" i="1" s="1"/>
  <c r="V16" i="1"/>
  <c r="W16" i="1" s="1"/>
  <c r="V21" i="1"/>
  <c r="W21" i="1" s="1"/>
  <c r="V15" i="1"/>
  <c r="W15" i="1" s="1"/>
  <c r="V12" i="1"/>
  <c r="X12" i="1" s="1"/>
  <c r="V35" i="1"/>
  <c r="X35" i="1" s="1"/>
  <c r="V26" i="1"/>
  <c r="X26" i="1" s="1"/>
  <c r="V11" i="1"/>
  <c r="W11" i="1" s="1"/>
  <c r="V34" i="1"/>
  <c r="X34" i="1" s="1"/>
  <c r="W34" i="1" l="1"/>
  <c r="X30" i="1"/>
  <c r="X23" i="1"/>
  <c r="Y23" i="1" s="1"/>
  <c r="Y34" i="1"/>
  <c r="W22" i="1"/>
  <c r="Y22" i="1" s="1"/>
  <c r="X33" i="1"/>
  <c r="Y33" i="1" s="1"/>
  <c r="X25" i="1"/>
  <c r="Y25" i="1" s="1"/>
  <c r="W7" i="1"/>
  <c r="Y7" i="1" s="1"/>
  <c r="X4" i="1"/>
  <c r="Y4" i="1" s="1"/>
  <c r="W17" i="1"/>
  <c r="Y17" i="1" s="1"/>
  <c r="W9" i="1"/>
  <c r="Y9" i="1" s="1"/>
  <c r="X16" i="1"/>
  <c r="Y16" i="1" s="1"/>
  <c r="W31" i="1"/>
  <c r="Y31" i="1" s="1"/>
  <c r="X3" i="1"/>
  <c r="Y3" i="1" s="1"/>
  <c r="X15" i="1"/>
  <c r="Y15" i="1" s="1"/>
  <c r="X13" i="1"/>
  <c r="Y13" i="1" s="1"/>
  <c r="W27" i="1"/>
  <c r="Y27" i="1" s="1"/>
  <c r="W26" i="1"/>
  <c r="Y26" i="1" s="1"/>
  <c r="X5" i="1"/>
  <c r="Y5" i="1" s="1"/>
  <c r="X11" i="1"/>
  <c r="Y11" i="1" s="1"/>
  <c r="X29" i="1"/>
  <c r="Y29" i="1" s="1"/>
  <c r="W12" i="1"/>
  <c r="Y12" i="1" s="1"/>
  <c r="W8" i="1"/>
  <c r="Y8" i="1" s="1"/>
  <c r="Y30" i="1"/>
  <c r="W35" i="1"/>
  <c r="Y35" i="1" s="1"/>
  <c r="X21" i="1"/>
  <c r="Y21" i="1" s="1"/>
</calcChain>
</file>

<file path=xl/sharedStrings.xml><?xml version="1.0" encoding="utf-8"?>
<sst xmlns="http://schemas.openxmlformats.org/spreadsheetml/2006/main" count="100" uniqueCount="54">
  <si>
    <t>No.</t>
  </si>
  <si>
    <r>
      <t>R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, R</t>
    </r>
    <r>
      <rPr>
        <b/>
        <vertAlign val="subscript"/>
        <sz val="12"/>
        <color theme="1"/>
        <rFont val="Times New Roman"/>
        <family val="1"/>
      </rPr>
      <t xml:space="preserve">2, </t>
    </r>
    <r>
      <rPr>
        <b/>
        <sz val="12"/>
        <color theme="1"/>
        <rFont val="Times New Roman"/>
        <family val="1"/>
      </rPr>
      <t>R</t>
    </r>
    <r>
      <rPr>
        <b/>
        <vertAlign val="subscript"/>
        <sz val="12"/>
        <color theme="1"/>
        <rFont val="Times New Roman"/>
        <family val="1"/>
      </rPr>
      <t>3</t>
    </r>
  </si>
  <si>
    <t>(berbeda Ω)</t>
  </si>
  <si>
    <t>Teori</t>
  </si>
  <si>
    <t>HP Multimeter Analog (V)</t>
  </si>
  <si>
    <t>HP Multimeter Digital (V)</t>
  </si>
  <si>
    <r>
      <t>VR</t>
    </r>
    <r>
      <rPr>
        <b/>
        <vertAlign val="subscript"/>
        <sz val="12"/>
        <color theme="1"/>
        <rFont val="Times New Roman"/>
        <family val="1"/>
      </rPr>
      <t>1</t>
    </r>
  </si>
  <si>
    <r>
      <t>VR</t>
    </r>
    <r>
      <rPr>
        <b/>
        <vertAlign val="subscript"/>
        <sz val="12"/>
        <color theme="1"/>
        <rFont val="Times New Roman"/>
        <family val="1"/>
      </rPr>
      <t>2</t>
    </r>
  </si>
  <si>
    <r>
      <t>VR</t>
    </r>
    <r>
      <rPr>
        <b/>
        <vertAlign val="subscript"/>
        <sz val="12"/>
        <color theme="1"/>
        <rFont val="Times New Roman"/>
        <family val="1"/>
      </rPr>
      <t>3</t>
    </r>
  </si>
  <si>
    <t>1.</t>
  </si>
  <si>
    <t>≤100</t>
  </si>
  <si>
    <t>2.</t>
  </si>
  <si>
    <t>100 &lt; R ≤ 1K</t>
  </si>
  <si>
    <t>3.</t>
  </si>
  <si>
    <t>1K &lt; R ≤ 10K</t>
  </si>
  <si>
    <t>4.</t>
  </si>
  <si>
    <t>10K &lt; R ≤ 100K</t>
  </si>
  <si>
    <t>5.</t>
  </si>
  <si>
    <t>100K &lt; R ≤ 1M</t>
  </si>
  <si>
    <r>
      <t>VR</t>
    </r>
    <r>
      <rPr>
        <vertAlign val="subscript"/>
        <sz val="12"/>
        <color theme="1"/>
        <rFont val="Times New Roman"/>
        <family val="1"/>
      </rPr>
      <t>2</t>
    </r>
  </si>
  <si>
    <r>
      <t>VR</t>
    </r>
    <r>
      <rPr>
        <vertAlign val="subscript"/>
        <sz val="12"/>
        <color theme="1"/>
        <rFont val="Times New Roman"/>
        <family val="1"/>
      </rPr>
      <t>3</t>
    </r>
  </si>
  <si>
    <t>R1</t>
  </si>
  <si>
    <t>R2</t>
  </si>
  <si>
    <t>R3</t>
  </si>
  <si>
    <t>Rn/VS</t>
  </si>
  <si>
    <t>R1-Rn'</t>
  </si>
  <si>
    <t>Rv</t>
  </si>
  <si>
    <t>Analog(Rn)</t>
  </si>
  <si>
    <t>Digital (Rn)]</t>
  </si>
  <si>
    <t>R2+R3</t>
  </si>
  <si>
    <t>Rn/Vs(R2+R3)/1-Rn/Vs</t>
  </si>
  <si>
    <t>Resistansi dalam</t>
  </si>
  <si>
    <t>Rumus Resistansi dalam :</t>
  </si>
  <si>
    <r>
      <t>Rn</t>
    </r>
    <r>
      <rPr>
        <b/>
        <sz val="12"/>
        <color theme="1"/>
        <rFont val="Calibri"/>
        <family val="2"/>
      </rPr>
      <t>'</t>
    </r>
    <r>
      <rPr>
        <b/>
        <sz val="12"/>
        <color theme="1"/>
        <rFont val="Times New Roman"/>
        <family val="1"/>
      </rPr>
      <t xml:space="preserve"> *R1/R1-Rn'</t>
    </r>
  </si>
  <si>
    <t>Rn'</t>
  </si>
  <si>
    <t>Rn' *R1</t>
  </si>
  <si>
    <t>Digital(Rn)</t>
  </si>
  <si>
    <t>No</t>
  </si>
  <si>
    <t>R1=R2</t>
  </si>
  <si>
    <t>Nominal R</t>
  </si>
  <si>
    <t>Teori (VR2)</t>
  </si>
  <si>
    <t>V2 (Hp. Multimeter Analog</t>
  </si>
  <si>
    <t>V2 Hp. Multimeter Digital</t>
  </si>
  <si>
    <t xml:space="preserve">R(1M-5M)Ω </t>
  </si>
  <si>
    <t xml:space="preserve">R(100-999)Ω </t>
  </si>
  <si>
    <t xml:space="preserve">R(1k-99,9k)Ω </t>
  </si>
  <si>
    <t xml:space="preserve">R(10k-99k)Ω </t>
  </si>
  <si>
    <t xml:space="preserve">R(100k-999k)Ω </t>
  </si>
  <si>
    <t>Kuning, ungu, cokelat, emas</t>
  </si>
  <si>
    <t>Hijau, biru, merah</t>
  </si>
  <si>
    <t>Kuning, ungu, jingga</t>
  </si>
  <si>
    <t>kuning, ungu, kuning</t>
  </si>
  <si>
    <t>cokelat, hitam, hijau</t>
  </si>
  <si>
    <t>Eror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</si>
</sst>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0.\7"/>
    <numFmt numFmtId="166" formatCode="00.\6\7"/>
    <numFmt numFmtId="167" formatCode="00.\4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vertAlign val="subscript"/>
      <sz val="12"/>
      <color theme="1"/>
      <name val="Times New Roman"/>
      <family val="1"/>
    </font>
    <font>
      <b/>
      <sz val="12"/>
      <color theme="1"/>
      <name val="Calibri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22C4-4B02-4E28-ACA8-2F583FE91A58}">
  <dimension ref="A1:AC67"/>
  <sheetViews>
    <sheetView tabSelected="1" topLeftCell="A22" zoomScale="75" zoomScaleNormal="75" workbookViewId="0">
      <selection activeCell="H38" sqref="H38"/>
    </sheetView>
  </sheetViews>
  <sheetFormatPr defaultRowHeight="14.5" x14ac:dyDescent="0.35"/>
  <cols>
    <col min="1" max="1" width="7.08984375" customWidth="1"/>
    <col min="2" max="2" width="15.90625" customWidth="1"/>
    <col min="3" max="3" width="26.6328125" customWidth="1"/>
    <col min="4" max="4" width="13.54296875" customWidth="1"/>
    <col min="5" max="5" width="12.90625" customWidth="1"/>
    <col min="6" max="6" width="11.54296875" style="10" customWidth="1"/>
    <col min="7" max="7" width="23.36328125" style="10" customWidth="1"/>
    <col min="8" max="8" width="6.6328125" style="10" customWidth="1"/>
    <col min="11" max="11" width="11.453125" customWidth="1"/>
    <col min="12" max="12" width="16.54296875" customWidth="1"/>
    <col min="13" max="13" width="10.08984375" customWidth="1"/>
    <col min="14" max="14" width="8.90625" bestFit="1" customWidth="1"/>
    <col min="15" max="15" width="10.08984375" customWidth="1"/>
    <col min="16" max="16" width="12.54296875" customWidth="1"/>
    <col min="17" max="17" width="13.26953125" hidden="1" customWidth="1"/>
    <col min="18" max="18" width="8.984375E-2" hidden="1" customWidth="1"/>
    <col min="19" max="19" width="8.7265625" hidden="1" customWidth="1"/>
    <col min="20" max="22" width="8.90625" bestFit="1" customWidth="1"/>
    <col min="23" max="23" width="12.90625" bestFit="1" customWidth="1"/>
    <col min="24" max="24" width="10.6328125" bestFit="1" customWidth="1"/>
    <col min="25" max="25" width="31.36328125" customWidth="1"/>
    <col min="27" max="27" width="47.1796875" customWidth="1"/>
    <col min="28" max="28" width="22.6328125" customWidth="1"/>
  </cols>
  <sheetData>
    <row r="1" spans="1:28" ht="18" x14ac:dyDescent="0.35">
      <c r="A1" s="22" t="s">
        <v>0</v>
      </c>
      <c r="B1" s="6" t="s">
        <v>1</v>
      </c>
      <c r="C1" s="22" t="s">
        <v>3</v>
      </c>
      <c r="D1" s="22"/>
      <c r="E1" s="22"/>
      <c r="F1" s="22" t="s">
        <v>4</v>
      </c>
      <c r="G1" s="22"/>
      <c r="H1" s="22"/>
      <c r="I1" s="22" t="s">
        <v>5</v>
      </c>
      <c r="J1" s="22"/>
      <c r="K1" s="22"/>
      <c r="M1" s="17"/>
      <c r="N1" s="17"/>
      <c r="O1" s="17"/>
      <c r="P1" s="17"/>
      <c r="Q1" s="17"/>
      <c r="R1" s="17"/>
      <c r="S1" s="17"/>
      <c r="T1" s="17"/>
      <c r="U1" s="17"/>
      <c r="V1" s="17" t="s">
        <v>30</v>
      </c>
      <c r="W1" s="17"/>
      <c r="X1" s="17"/>
      <c r="Y1" s="17" t="s">
        <v>31</v>
      </c>
    </row>
    <row r="2" spans="1:28" ht="31" customHeight="1" x14ac:dyDescent="0.35">
      <c r="A2" s="22"/>
      <c r="B2" s="6" t="s">
        <v>2</v>
      </c>
      <c r="C2" s="6" t="s">
        <v>6</v>
      </c>
      <c r="D2" s="6" t="s">
        <v>7</v>
      </c>
      <c r="E2" s="6" t="s">
        <v>8</v>
      </c>
      <c r="F2" s="13" t="s">
        <v>6</v>
      </c>
      <c r="G2" s="11" t="s">
        <v>19</v>
      </c>
      <c r="H2" s="11" t="s">
        <v>20</v>
      </c>
      <c r="I2" s="6" t="s">
        <v>6</v>
      </c>
      <c r="J2" s="6" t="s">
        <v>7</v>
      </c>
      <c r="K2" s="6" t="s">
        <v>8</v>
      </c>
      <c r="M2" s="6" t="s">
        <v>21</v>
      </c>
      <c r="N2" s="6" t="s">
        <v>22</v>
      </c>
      <c r="O2" s="6" t="s">
        <v>23</v>
      </c>
      <c r="P2" s="6" t="s">
        <v>27</v>
      </c>
      <c r="Q2" s="6" t="s">
        <v>28</v>
      </c>
      <c r="R2" s="17"/>
      <c r="S2" s="17"/>
      <c r="T2" s="6" t="s">
        <v>24</v>
      </c>
      <c r="U2" s="6" t="s">
        <v>29</v>
      </c>
      <c r="V2" s="6" t="s">
        <v>34</v>
      </c>
      <c r="W2" s="6" t="s">
        <v>35</v>
      </c>
      <c r="X2" s="6" t="s">
        <v>25</v>
      </c>
      <c r="Y2" s="6" t="s">
        <v>26</v>
      </c>
      <c r="AA2" s="15" t="s">
        <v>32</v>
      </c>
    </row>
    <row r="3" spans="1:28" ht="33" customHeight="1" x14ac:dyDescent="0.35">
      <c r="A3" s="1" t="s">
        <v>9</v>
      </c>
      <c r="B3" s="2" t="s">
        <v>10</v>
      </c>
      <c r="C3" s="2">
        <v>0.60499999999999998</v>
      </c>
      <c r="D3" s="2">
        <v>1.08</v>
      </c>
      <c r="E3" s="2">
        <v>1.31</v>
      </c>
      <c r="F3" s="14">
        <v>0.37</v>
      </c>
      <c r="G3" s="12">
        <v>0.02</v>
      </c>
      <c r="H3" s="12">
        <v>0.16</v>
      </c>
      <c r="I3" s="2">
        <v>0.57999999999999996</v>
      </c>
      <c r="J3" s="2">
        <v>1.05</v>
      </c>
      <c r="K3" s="2">
        <v>1.26</v>
      </c>
      <c r="M3" s="1">
        <v>46</v>
      </c>
      <c r="N3" s="1">
        <v>82</v>
      </c>
      <c r="O3" s="1">
        <v>100</v>
      </c>
      <c r="P3" s="1">
        <v>0.37</v>
      </c>
      <c r="Q3" s="16"/>
      <c r="R3" s="16"/>
      <c r="S3" s="16"/>
      <c r="T3" s="16">
        <f>P3/3</f>
        <v>0.12333333333333334</v>
      </c>
      <c r="U3" s="16">
        <f>N3+O3</f>
        <v>182</v>
      </c>
      <c r="V3" s="16">
        <f>T3*U3/1-T3</f>
        <v>22.323333333333334</v>
      </c>
      <c r="W3" s="16">
        <f>V3*M3</f>
        <v>1026.8733333333334</v>
      </c>
      <c r="X3" s="16">
        <f>M3-V3</f>
        <v>23.676666666666666</v>
      </c>
      <c r="Y3" s="16">
        <f>X3/W3</f>
        <v>2.3057046958079863E-2</v>
      </c>
      <c r="AA3" s="15" t="s">
        <v>33</v>
      </c>
      <c r="AB3" s="15"/>
    </row>
    <row r="4" spans="1:28" ht="32.5" customHeight="1" x14ac:dyDescent="0.35">
      <c r="A4" s="3" t="s">
        <v>11</v>
      </c>
      <c r="B4" s="4" t="s">
        <v>12</v>
      </c>
      <c r="C4" s="4"/>
      <c r="D4" s="4"/>
      <c r="E4" s="4"/>
      <c r="F4" s="9"/>
      <c r="G4" s="4"/>
      <c r="H4" s="4"/>
      <c r="I4" s="4"/>
      <c r="J4" s="4"/>
      <c r="K4" s="5"/>
      <c r="M4" s="16">
        <v>82</v>
      </c>
      <c r="N4" s="16">
        <v>100</v>
      </c>
      <c r="O4" s="16">
        <v>46</v>
      </c>
      <c r="P4" s="16">
        <v>0.02</v>
      </c>
      <c r="Q4" s="16"/>
      <c r="R4" s="16"/>
      <c r="S4" s="16"/>
      <c r="T4" s="16">
        <f t="shared" ref="T4:T5" si="0">P4/3</f>
        <v>6.6666666666666671E-3</v>
      </c>
      <c r="U4" s="16">
        <f t="shared" ref="U4:U17" si="1">N4+O4</f>
        <v>146</v>
      </c>
      <c r="V4" s="16">
        <f t="shared" ref="V4:V17" si="2">T4*U4/1-T4</f>
        <v>0.96666666666666667</v>
      </c>
      <c r="W4" s="16">
        <f t="shared" ref="W4:W17" si="3">V4*M4</f>
        <v>79.266666666666666</v>
      </c>
      <c r="X4" s="16">
        <f t="shared" ref="X4:X17" si="4">M4-V4</f>
        <v>81.033333333333331</v>
      </c>
      <c r="Y4" s="16">
        <f>X4/W4</f>
        <v>1.0222876366694702</v>
      </c>
    </row>
    <row r="5" spans="1:28" ht="33" customHeight="1" x14ac:dyDescent="0.35">
      <c r="A5" s="1" t="s">
        <v>13</v>
      </c>
      <c r="B5" s="2" t="s">
        <v>14</v>
      </c>
      <c r="C5" s="2">
        <v>0.42</v>
      </c>
      <c r="D5" s="2">
        <v>0.63</v>
      </c>
      <c r="E5" s="2">
        <v>0.19</v>
      </c>
      <c r="F5" s="14">
        <v>0.77</v>
      </c>
      <c r="G5" s="12">
        <v>0.13</v>
      </c>
      <c r="H5" s="12">
        <v>0.31</v>
      </c>
      <c r="I5" s="2">
        <v>0.43</v>
      </c>
      <c r="J5" s="2">
        <v>0.68</v>
      </c>
      <c r="K5" s="2">
        <v>1.99</v>
      </c>
      <c r="M5" s="1">
        <v>100</v>
      </c>
      <c r="N5" s="1">
        <v>46</v>
      </c>
      <c r="O5" s="1">
        <v>82</v>
      </c>
      <c r="P5" s="1">
        <v>0.16</v>
      </c>
      <c r="Q5" s="16"/>
      <c r="R5" s="16"/>
      <c r="S5" s="16"/>
      <c r="T5" s="16">
        <f t="shared" si="0"/>
        <v>5.3333333333333337E-2</v>
      </c>
      <c r="U5" s="16">
        <f t="shared" si="1"/>
        <v>128</v>
      </c>
      <c r="V5" s="16">
        <f t="shared" si="2"/>
        <v>6.7733333333333334</v>
      </c>
      <c r="W5" s="16">
        <f t="shared" si="3"/>
        <v>677.33333333333337</v>
      </c>
      <c r="X5" s="16">
        <f t="shared" si="4"/>
        <v>93.226666666666659</v>
      </c>
      <c r="Y5" s="16">
        <f>X5/W5</f>
        <v>0.13763779527559053</v>
      </c>
    </row>
    <row r="6" spans="1:28" ht="29" customHeight="1" x14ac:dyDescent="0.35">
      <c r="A6" s="1" t="s">
        <v>15</v>
      </c>
      <c r="B6" s="2" t="s">
        <v>16</v>
      </c>
      <c r="C6" s="8">
        <v>0.24</v>
      </c>
      <c r="D6" s="8">
        <v>0.36</v>
      </c>
      <c r="E6" s="8">
        <v>2.4</v>
      </c>
      <c r="F6" s="14">
        <v>0.7</v>
      </c>
      <c r="G6" s="14">
        <v>0.1</v>
      </c>
      <c r="H6" s="14">
        <v>7.0000000000000007E-2</v>
      </c>
      <c r="I6" s="2">
        <v>0.247</v>
      </c>
      <c r="J6" s="2">
        <v>0.312</v>
      </c>
      <c r="K6" s="2">
        <v>0.56000000000000005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8" ht="30" customHeight="1" x14ac:dyDescent="0.35">
      <c r="A7" s="1" t="s">
        <v>17</v>
      </c>
      <c r="B7" s="2" t="s">
        <v>18</v>
      </c>
      <c r="C7" s="2">
        <v>0.23</v>
      </c>
      <c r="D7" s="2">
        <v>0.5</v>
      </c>
      <c r="E7" s="2">
        <v>2.2269999999999999</v>
      </c>
      <c r="F7" s="14">
        <v>0.17499999999999999</v>
      </c>
      <c r="G7" s="12">
        <v>0.27500000000000002</v>
      </c>
      <c r="H7" s="12">
        <v>0.875</v>
      </c>
      <c r="I7" s="2">
        <v>0.23200000000000001</v>
      </c>
      <c r="J7" s="2">
        <v>0.505</v>
      </c>
      <c r="K7" s="2">
        <v>2.3029999999999999</v>
      </c>
      <c r="M7" s="1">
        <v>2200</v>
      </c>
      <c r="N7" s="1">
        <v>3300</v>
      </c>
      <c r="O7" s="1">
        <v>10000</v>
      </c>
      <c r="P7" s="1">
        <v>0.77</v>
      </c>
      <c r="Q7" s="16"/>
      <c r="R7" s="16"/>
      <c r="S7" s="16"/>
      <c r="T7" s="16">
        <f>P7/3</f>
        <v>0.25666666666666665</v>
      </c>
      <c r="U7" s="16">
        <f t="shared" si="1"/>
        <v>13300</v>
      </c>
      <c r="V7" s="16">
        <f t="shared" si="2"/>
        <v>3413.41</v>
      </c>
      <c r="W7" s="16">
        <f t="shared" si="3"/>
        <v>7509502</v>
      </c>
      <c r="X7" s="16">
        <f t="shared" si="4"/>
        <v>-1213.4099999999999</v>
      </c>
      <c r="Y7" s="16">
        <f>X7/W7</f>
        <v>-1.6158328475044016E-4</v>
      </c>
    </row>
    <row r="8" spans="1:28" ht="29.5" customHeight="1" x14ac:dyDescent="0.35">
      <c r="C8">
        <f>(F3-C3)/C3*100%</f>
        <v>-0.38842975206611569</v>
      </c>
      <c r="D8">
        <f>(G3-D3)/D3*100%</f>
        <v>-0.98148148148148151</v>
      </c>
      <c r="E8">
        <f>(H3-E3)/E3*100%</f>
        <v>-0.87786259541984735</v>
      </c>
      <c r="M8" s="16">
        <v>3300</v>
      </c>
      <c r="N8" s="16">
        <v>10000</v>
      </c>
      <c r="O8" s="16">
        <v>2200</v>
      </c>
      <c r="P8" s="16">
        <v>0.13</v>
      </c>
      <c r="Q8" s="16"/>
      <c r="R8" s="16"/>
      <c r="S8" s="16"/>
      <c r="T8" s="16">
        <f>P8/3</f>
        <v>4.3333333333333335E-2</v>
      </c>
      <c r="U8" s="16">
        <f t="shared" si="1"/>
        <v>12200</v>
      </c>
      <c r="V8" s="16">
        <f t="shared" si="2"/>
        <v>528.62333333333333</v>
      </c>
      <c r="W8" s="16">
        <f t="shared" si="3"/>
        <v>1744457</v>
      </c>
      <c r="X8" s="16">
        <f t="shared" si="4"/>
        <v>2771.3766666666666</v>
      </c>
      <c r="Y8" s="16">
        <f>X8/W8</f>
        <v>1.588675826728126E-3</v>
      </c>
    </row>
    <row r="9" spans="1:28" ht="30.5" customHeight="1" x14ac:dyDescent="0.35">
      <c r="C9">
        <f t="shared" ref="C9:E11" si="5">(F5-C5)/C5*100%</f>
        <v>0.83333333333333348</v>
      </c>
      <c r="D9">
        <f t="shared" si="5"/>
        <v>-0.79365079365079361</v>
      </c>
      <c r="E9">
        <f t="shared" si="5"/>
        <v>0.63157894736842102</v>
      </c>
      <c r="F9" s="10">
        <f>(F3-C3)/C3*100%</f>
        <v>-0.38842975206611569</v>
      </c>
      <c r="H9"/>
      <c r="M9" s="1">
        <v>10000</v>
      </c>
      <c r="N9" s="1">
        <v>2200</v>
      </c>
      <c r="O9" s="1">
        <v>3300</v>
      </c>
      <c r="P9" s="1">
        <v>0.31</v>
      </c>
      <c r="Q9" s="16"/>
      <c r="R9" s="16"/>
      <c r="S9" s="16"/>
      <c r="T9" s="16">
        <f>P9/3</f>
        <v>0.10333333333333333</v>
      </c>
      <c r="U9" s="16">
        <f t="shared" si="1"/>
        <v>5500</v>
      </c>
      <c r="V9" s="16">
        <f t="shared" si="2"/>
        <v>568.23</v>
      </c>
      <c r="W9" s="16">
        <f t="shared" si="3"/>
        <v>5682300</v>
      </c>
      <c r="X9" s="16">
        <f t="shared" si="4"/>
        <v>9431.77</v>
      </c>
      <c r="Y9" s="16">
        <f>X9/W9</f>
        <v>1.6598507646551574E-3</v>
      </c>
    </row>
    <row r="10" spans="1:28" ht="15.5" x14ac:dyDescent="0.35">
      <c r="C10">
        <f t="shared" si="5"/>
        <v>1.9166666666666665</v>
      </c>
      <c r="D10">
        <f t="shared" si="5"/>
        <v>-0.72222222222222232</v>
      </c>
      <c r="E10">
        <f t="shared" si="5"/>
        <v>-0.97083333333333344</v>
      </c>
      <c r="H10"/>
      <c r="I10">
        <f>(I3-C3)/C3*100%</f>
        <v>-4.1322314049586813E-2</v>
      </c>
      <c r="J10">
        <f>(J3-D3)/D3*100%</f>
        <v>-2.7777777777777801E-2</v>
      </c>
      <c r="K10">
        <f>(K3-E3)/E3*100%</f>
        <v>-3.8167938931297746E-2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8" ht="30" customHeight="1" x14ac:dyDescent="0.35">
      <c r="C11">
        <f t="shared" si="5"/>
        <v>-0.23913043478260879</v>
      </c>
      <c r="D11">
        <f t="shared" si="5"/>
        <v>-0.44999999999999996</v>
      </c>
      <c r="E11">
        <f t="shared" si="5"/>
        <v>-0.60709474629546478</v>
      </c>
      <c r="H11"/>
      <c r="I11">
        <f t="shared" ref="I11:I13" si="6">(I5-C5)/C5*100%</f>
        <v>2.3809523809523832E-2</v>
      </c>
      <c r="J11">
        <f t="shared" ref="J11:K13" si="7">(J5-D5)/D5*100%</f>
        <v>7.936507936507943E-2</v>
      </c>
      <c r="K11">
        <f t="shared" si="7"/>
        <v>9.473684210526315</v>
      </c>
      <c r="M11" s="1">
        <v>10000</v>
      </c>
      <c r="N11" s="1">
        <v>15000</v>
      </c>
      <c r="O11" s="1">
        <v>100000</v>
      </c>
      <c r="P11" s="1">
        <v>0.7</v>
      </c>
      <c r="Q11" s="16"/>
      <c r="R11" s="16"/>
      <c r="S11" s="16"/>
      <c r="T11" s="16">
        <f t="shared" ref="T11:T17" si="8">P11/3</f>
        <v>0.23333333333333331</v>
      </c>
      <c r="U11" s="16">
        <f t="shared" si="1"/>
        <v>115000</v>
      </c>
      <c r="V11" s="16">
        <f t="shared" si="2"/>
        <v>26833.1</v>
      </c>
      <c r="W11" s="16">
        <f t="shared" si="3"/>
        <v>268331000</v>
      </c>
      <c r="X11" s="16">
        <f t="shared" si="4"/>
        <v>-16833.099999999999</v>
      </c>
      <c r="Y11" s="16">
        <f t="shared" ref="Y11:Y13" si="9">X11/W11</f>
        <v>-6.2732595190268729E-5</v>
      </c>
    </row>
    <row r="12" spans="1:28" ht="30.5" customHeight="1" x14ac:dyDescent="0.35">
      <c r="F12" s="10">
        <f>(F3-C3)/C3*100</f>
        <v>-38.84297520661157</v>
      </c>
      <c r="H12"/>
      <c r="I12">
        <f t="shared" si="6"/>
        <v>2.9166666666666695E-2</v>
      </c>
      <c r="J12">
        <f t="shared" si="7"/>
        <v>-0.1333333333333333</v>
      </c>
      <c r="K12">
        <f t="shared" si="7"/>
        <v>-0.76666666666666661</v>
      </c>
      <c r="M12" s="16">
        <v>15000</v>
      </c>
      <c r="N12" s="16">
        <v>100000</v>
      </c>
      <c r="O12" s="16">
        <v>10000</v>
      </c>
      <c r="P12" s="16">
        <v>0.1</v>
      </c>
      <c r="Q12" s="16"/>
      <c r="R12" s="16"/>
      <c r="S12" s="16"/>
      <c r="T12" s="16">
        <f t="shared" si="8"/>
        <v>3.3333333333333333E-2</v>
      </c>
      <c r="U12" s="16">
        <f t="shared" si="1"/>
        <v>110000</v>
      </c>
      <c r="V12" s="16">
        <f t="shared" si="2"/>
        <v>3666.6333333333332</v>
      </c>
      <c r="W12" s="16">
        <f t="shared" si="3"/>
        <v>54999500</v>
      </c>
      <c r="X12" s="16">
        <f t="shared" si="4"/>
        <v>11333.366666666667</v>
      </c>
      <c r="Y12" s="16">
        <f>X12/W12</f>
        <v>2.0606308542198869E-4</v>
      </c>
    </row>
    <row r="13" spans="1:28" ht="30" customHeight="1" x14ac:dyDescent="0.35">
      <c r="I13">
        <f t="shared" si="6"/>
        <v>8.6956521739130505E-3</v>
      </c>
      <c r="J13">
        <f t="shared" si="7"/>
        <v>1.0000000000000009E-2</v>
      </c>
      <c r="K13">
        <f t="shared" si="7"/>
        <v>3.4126627750336806E-2</v>
      </c>
      <c r="M13" s="1">
        <v>100000</v>
      </c>
      <c r="N13" s="1">
        <v>10000</v>
      </c>
      <c r="O13" s="1">
        <v>15000</v>
      </c>
      <c r="P13" s="1">
        <v>7.0000000000000007E-2</v>
      </c>
      <c r="Q13" s="16"/>
      <c r="R13" s="16"/>
      <c r="S13" s="16"/>
      <c r="T13" s="16">
        <f t="shared" si="8"/>
        <v>2.3333333333333334E-2</v>
      </c>
      <c r="U13" s="16">
        <f t="shared" si="1"/>
        <v>25000</v>
      </c>
      <c r="V13" s="16">
        <f t="shared" si="2"/>
        <v>583.31000000000006</v>
      </c>
      <c r="W13" s="16">
        <f t="shared" si="3"/>
        <v>58331000.000000007</v>
      </c>
      <c r="X13" s="16">
        <f t="shared" si="4"/>
        <v>99416.69</v>
      </c>
      <c r="Y13" s="16">
        <f t="shared" si="9"/>
        <v>1.7043542884572524E-3</v>
      </c>
    </row>
    <row r="14" spans="1:28" ht="31.5" customHeight="1" x14ac:dyDescent="0.35">
      <c r="M14" s="16"/>
      <c r="N14" s="16"/>
      <c r="O14" s="16"/>
    </row>
    <row r="15" spans="1:28" ht="15.5" x14ac:dyDescent="0.35">
      <c r="M15" s="1">
        <v>100000</v>
      </c>
      <c r="N15" s="1">
        <v>220000</v>
      </c>
      <c r="O15" s="1">
        <v>1000000</v>
      </c>
      <c r="P15" s="1">
        <v>0.17499999999999999</v>
      </c>
      <c r="Q15" s="16"/>
      <c r="R15" s="16"/>
      <c r="S15" s="16"/>
      <c r="T15" s="16">
        <f t="shared" si="8"/>
        <v>5.8333333333333327E-2</v>
      </c>
      <c r="U15" s="16">
        <f t="shared" si="1"/>
        <v>1220000</v>
      </c>
      <c r="V15" s="16">
        <f t="shared" si="2"/>
        <v>71166.608333333323</v>
      </c>
      <c r="W15" s="16">
        <f t="shared" si="3"/>
        <v>7116660833.3333321</v>
      </c>
      <c r="X15" s="16">
        <f t="shared" si="4"/>
        <v>28833.391666666677</v>
      </c>
      <c r="Y15" s="16">
        <f>X15/W15</f>
        <v>4.0515337658941895E-6</v>
      </c>
    </row>
    <row r="16" spans="1:28" ht="32" customHeight="1" x14ac:dyDescent="0.35">
      <c r="M16" s="1">
        <v>220000</v>
      </c>
      <c r="N16" s="16">
        <v>1000000</v>
      </c>
      <c r="O16" s="16">
        <v>100000</v>
      </c>
      <c r="P16" s="16">
        <v>0.27500000000000002</v>
      </c>
      <c r="Q16" s="16"/>
      <c r="R16" s="16"/>
      <c r="S16" s="16"/>
      <c r="T16" s="16">
        <f t="shared" si="8"/>
        <v>9.1666666666666674E-2</v>
      </c>
      <c r="U16" s="16">
        <f t="shared" si="1"/>
        <v>1100000</v>
      </c>
      <c r="V16" s="16">
        <f t="shared" si="2"/>
        <v>100833.24166666668</v>
      </c>
      <c r="W16" s="16">
        <f t="shared" si="3"/>
        <v>22183313166.666672</v>
      </c>
      <c r="X16" s="16">
        <f t="shared" si="4"/>
        <v>119166.75833333332</v>
      </c>
      <c r="Y16" s="16">
        <f>X16/W16</f>
        <v>5.3719098422320863E-6</v>
      </c>
    </row>
    <row r="17" spans="9:29" ht="30.5" customHeight="1" x14ac:dyDescent="0.35">
      <c r="M17" s="1">
        <v>1000000</v>
      </c>
      <c r="N17" s="1">
        <v>100000</v>
      </c>
      <c r="O17" s="1">
        <v>220000</v>
      </c>
      <c r="P17" s="1">
        <v>0.875</v>
      </c>
      <c r="Q17" s="16"/>
      <c r="R17" s="16"/>
      <c r="S17" s="16"/>
      <c r="T17" s="16">
        <f t="shared" si="8"/>
        <v>0.29166666666666669</v>
      </c>
      <c r="U17" s="16">
        <f t="shared" si="1"/>
        <v>320000</v>
      </c>
      <c r="V17" s="16">
        <f t="shared" si="2"/>
        <v>93333.041666666672</v>
      </c>
      <c r="W17" s="16">
        <f t="shared" si="3"/>
        <v>93333041666.666672</v>
      </c>
      <c r="X17" s="16">
        <f t="shared" si="4"/>
        <v>906666.95833333337</v>
      </c>
      <c r="Y17" s="16">
        <f>X17/W17</f>
        <v>9.7143191965332039E-6</v>
      </c>
    </row>
    <row r="19" spans="9:29" ht="15" x14ac:dyDescent="0.35">
      <c r="M19" s="17"/>
      <c r="N19" s="17"/>
      <c r="O19" s="17"/>
      <c r="P19" s="17"/>
      <c r="Q19" s="17"/>
      <c r="R19" s="17"/>
      <c r="S19" s="17"/>
      <c r="T19" s="17"/>
      <c r="U19" s="17"/>
      <c r="V19" s="17" t="s">
        <v>30</v>
      </c>
      <c r="W19" s="17"/>
      <c r="X19" s="17"/>
      <c r="Y19" s="17" t="s">
        <v>31</v>
      </c>
    </row>
    <row r="20" spans="9:29" ht="15" x14ac:dyDescent="0.35">
      <c r="M20" s="6" t="s">
        <v>21</v>
      </c>
      <c r="N20" s="6" t="s">
        <v>22</v>
      </c>
      <c r="O20" s="6" t="s">
        <v>23</v>
      </c>
      <c r="P20" s="6" t="s">
        <v>36</v>
      </c>
      <c r="Q20" s="6" t="s">
        <v>28</v>
      </c>
      <c r="R20" s="17"/>
      <c r="S20" s="17"/>
      <c r="T20" s="6" t="s">
        <v>24</v>
      </c>
      <c r="U20" s="6" t="s">
        <v>29</v>
      </c>
      <c r="V20" s="6" t="s">
        <v>34</v>
      </c>
      <c r="W20" s="6" t="s">
        <v>35</v>
      </c>
      <c r="X20" s="6" t="s">
        <v>25</v>
      </c>
      <c r="Y20" s="6" t="s">
        <v>26</v>
      </c>
      <c r="AA20" s="17"/>
      <c r="AB20" s="17" t="s">
        <v>30</v>
      </c>
      <c r="AC20" s="17"/>
    </row>
    <row r="21" spans="9:29" ht="15.5" x14ac:dyDescent="0.35">
      <c r="M21" s="1">
        <v>46</v>
      </c>
      <c r="N21" s="1">
        <v>82</v>
      </c>
      <c r="O21" s="1">
        <v>100</v>
      </c>
      <c r="P21" s="1">
        <v>0.57999999999999996</v>
      </c>
      <c r="Q21" s="7"/>
      <c r="R21" s="7"/>
      <c r="S21" s="7"/>
      <c r="T21" s="7">
        <f>P21/3</f>
        <v>0.19333333333333333</v>
      </c>
      <c r="U21" s="7">
        <f>N21+O21</f>
        <v>182</v>
      </c>
      <c r="V21" s="7">
        <f>T21*U21/1-T21</f>
        <v>34.993333333333332</v>
      </c>
      <c r="W21" s="7">
        <f>V21*M21</f>
        <v>1609.6933333333334</v>
      </c>
      <c r="X21" s="7">
        <f>M21-V21</f>
        <v>11.006666666666668</v>
      </c>
      <c r="Y21" s="18">
        <f>X21/W21</f>
        <v>6.8377413503193157E-3</v>
      </c>
    </row>
    <row r="22" spans="9:29" ht="15.5" x14ac:dyDescent="0.35">
      <c r="M22" s="16">
        <v>82</v>
      </c>
      <c r="N22" s="16">
        <v>100</v>
      </c>
      <c r="O22" s="16">
        <v>46</v>
      </c>
      <c r="P22" s="16">
        <v>1.05</v>
      </c>
      <c r="Q22" s="7"/>
      <c r="R22" s="7"/>
      <c r="S22" s="7"/>
      <c r="T22" s="7">
        <f t="shared" ref="T22:T35" si="10">P22/3</f>
        <v>0.35000000000000003</v>
      </c>
      <c r="U22" s="7">
        <f t="shared" ref="U22:U35" si="11">N22+O22</f>
        <v>146</v>
      </c>
      <c r="V22" s="7">
        <f t="shared" ref="V22:V35" si="12">T22*U22/1-T22</f>
        <v>50.75</v>
      </c>
      <c r="W22" s="7">
        <f t="shared" ref="W22:W35" si="13">V22*M22</f>
        <v>4161.5</v>
      </c>
      <c r="X22" s="7">
        <f t="shared" ref="X22:X35" si="14">M22-V22</f>
        <v>31.25</v>
      </c>
      <c r="Y22" s="18">
        <f t="shared" ref="Y22:Y35" si="15">X22/W22</f>
        <v>7.5093115463174334E-3</v>
      </c>
    </row>
    <row r="23" spans="9:29" ht="15.5" x14ac:dyDescent="0.35">
      <c r="I23" s="21"/>
      <c r="J23" s="21"/>
      <c r="K23" s="21"/>
      <c r="M23" s="1">
        <v>100</v>
      </c>
      <c r="N23" s="1">
        <v>46</v>
      </c>
      <c r="O23" s="1">
        <v>82</v>
      </c>
      <c r="P23" s="1">
        <v>1.26</v>
      </c>
      <c r="Q23" s="7"/>
      <c r="R23" s="7"/>
      <c r="S23" s="7"/>
      <c r="T23" s="7">
        <f t="shared" si="10"/>
        <v>0.42</v>
      </c>
      <c r="U23" s="7">
        <f t="shared" si="11"/>
        <v>128</v>
      </c>
      <c r="V23" s="7">
        <f t="shared" si="12"/>
        <v>53.339999999999996</v>
      </c>
      <c r="W23" s="7">
        <f t="shared" si="13"/>
        <v>5334</v>
      </c>
      <c r="X23" s="7">
        <f t="shared" si="14"/>
        <v>46.660000000000004</v>
      </c>
      <c r="Y23" s="18">
        <f>X23/W23</f>
        <v>8.7476565429321345E-3</v>
      </c>
    </row>
    <row r="24" spans="9:29" ht="15.5" x14ac:dyDescent="0.35">
      <c r="I24" s="15"/>
      <c r="J24" s="15"/>
      <c r="K24" s="15"/>
      <c r="Y24" s="19"/>
    </row>
    <row r="25" spans="9:29" ht="15.5" x14ac:dyDescent="0.35">
      <c r="I25" s="20"/>
      <c r="J25" s="20"/>
      <c r="K25" s="20"/>
      <c r="M25" s="1">
        <v>2200</v>
      </c>
      <c r="N25" s="1">
        <v>3300</v>
      </c>
      <c r="O25" s="1">
        <v>10000</v>
      </c>
      <c r="P25" s="1">
        <v>0.43</v>
      </c>
      <c r="Q25" s="7"/>
      <c r="R25" s="7"/>
      <c r="S25" s="7"/>
      <c r="T25" s="7">
        <f t="shared" si="10"/>
        <v>0.14333333333333334</v>
      </c>
      <c r="U25" s="7">
        <f t="shared" si="11"/>
        <v>13300</v>
      </c>
      <c r="V25" s="7">
        <f t="shared" si="12"/>
        <v>1906.19</v>
      </c>
      <c r="W25" s="7">
        <f t="shared" si="13"/>
        <v>4193618</v>
      </c>
      <c r="X25" s="7">
        <f t="shared" si="14"/>
        <v>293.80999999999995</v>
      </c>
      <c r="Y25" s="18">
        <f t="shared" si="15"/>
        <v>7.0061221599106055E-5</v>
      </c>
    </row>
    <row r="26" spans="9:29" ht="15.5" x14ac:dyDescent="0.35">
      <c r="I26" s="20"/>
      <c r="J26" s="20"/>
      <c r="M26" s="16">
        <v>3300</v>
      </c>
      <c r="N26" s="16">
        <v>10000</v>
      </c>
      <c r="O26" s="16">
        <v>2200</v>
      </c>
      <c r="P26" s="1">
        <v>0.68</v>
      </c>
      <c r="Q26" s="7"/>
      <c r="R26" s="7"/>
      <c r="S26" s="7"/>
      <c r="T26" s="7">
        <f t="shared" si="10"/>
        <v>0.22666666666666668</v>
      </c>
      <c r="U26" s="7">
        <f t="shared" si="11"/>
        <v>12200</v>
      </c>
      <c r="V26" s="7">
        <f t="shared" si="12"/>
        <v>2765.106666666667</v>
      </c>
      <c r="W26" s="7">
        <f t="shared" si="13"/>
        <v>9124852.0000000019</v>
      </c>
      <c r="X26" s="7">
        <f t="shared" si="14"/>
        <v>534.89333333333298</v>
      </c>
      <c r="Y26" s="18">
        <f>X26/W26</f>
        <v>5.8619398247043662E-5</v>
      </c>
    </row>
    <row r="27" spans="9:29" ht="15.5" x14ac:dyDescent="0.35">
      <c r="I27" s="20"/>
      <c r="J27" s="20"/>
      <c r="K27" s="20"/>
      <c r="M27" s="1">
        <v>10000</v>
      </c>
      <c r="N27" s="1">
        <v>2200</v>
      </c>
      <c r="O27" s="1">
        <v>3300</v>
      </c>
      <c r="P27" s="1">
        <v>1.99</v>
      </c>
      <c r="Q27" s="7"/>
      <c r="R27" s="7"/>
      <c r="S27" s="7"/>
      <c r="T27" s="7">
        <f t="shared" si="10"/>
        <v>0.66333333333333333</v>
      </c>
      <c r="U27" s="7">
        <f t="shared" si="11"/>
        <v>5500</v>
      </c>
      <c r="V27" s="7">
        <f t="shared" si="12"/>
        <v>3647.67</v>
      </c>
      <c r="W27" s="7">
        <f t="shared" si="13"/>
        <v>36476700</v>
      </c>
      <c r="X27" s="7">
        <f t="shared" si="14"/>
        <v>6352.33</v>
      </c>
      <c r="Y27" s="18">
        <f>X27/W27</f>
        <v>1.7414760655432097E-4</v>
      </c>
    </row>
    <row r="28" spans="9:29" ht="15.5" x14ac:dyDescent="0.35">
      <c r="I28" s="20"/>
      <c r="J28" s="20"/>
      <c r="K28" s="20"/>
      <c r="Y28" s="19"/>
    </row>
    <row r="29" spans="9:29" ht="15.5" x14ac:dyDescent="0.35">
      <c r="I29" s="20"/>
      <c r="J29" s="20"/>
      <c r="K29" s="20"/>
      <c r="M29" s="1">
        <v>10000</v>
      </c>
      <c r="N29" s="1">
        <v>15000</v>
      </c>
      <c r="O29" s="1">
        <v>100000</v>
      </c>
      <c r="P29" s="1">
        <v>0.247</v>
      </c>
      <c r="Q29" s="7"/>
      <c r="R29" s="7"/>
      <c r="S29" s="7"/>
      <c r="T29" s="7">
        <f t="shared" si="10"/>
        <v>8.2333333333333328E-2</v>
      </c>
      <c r="U29" s="7">
        <f t="shared" si="11"/>
        <v>115000</v>
      </c>
      <c r="V29" s="7">
        <f t="shared" si="12"/>
        <v>9468.2509999999984</v>
      </c>
      <c r="W29" s="7">
        <f t="shared" si="13"/>
        <v>94682509.999999985</v>
      </c>
      <c r="X29" s="7">
        <f t="shared" si="14"/>
        <v>531.74900000000162</v>
      </c>
      <c r="Y29" s="18">
        <f t="shared" si="15"/>
        <v>5.6161269911412543E-6</v>
      </c>
    </row>
    <row r="30" spans="9:29" ht="15.5" x14ac:dyDescent="0.35">
      <c r="M30" s="16">
        <v>15000</v>
      </c>
      <c r="N30" s="16">
        <v>100000</v>
      </c>
      <c r="O30" s="16">
        <v>10000</v>
      </c>
      <c r="P30" s="1">
        <v>0.312</v>
      </c>
      <c r="Q30" s="7"/>
      <c r="R30" s="7"/>
      <c r="S30" s="7"/>
      <c r="T30" s="7">
        <f t="shared" si="10"/>
        <v>0.104</v>
      </c>
      <c r="U30" s="7">
        <f t="shared" si="11"/>
        <v>110000</v>
      </c>
      <c r="V30" s="7">
        <f t="shared" si="12"/>
        <v>11439.896000000001</v>
      </c>
      <c r="W30" s="7">
        <f t="shared" si="13"/>
        <v>171598440</v>
      </c>
      <c r="X30" s="7">
        <f t="shared" si="14"/>
        <v>3560.1039999999994</v>
      </c>
      <c r="Y30" s="18">
        <f t="shared" si="15"/>
        <v>2.0746715413030558E-5</v>
      </c>
    </row>
    <row r="31" spans="9:29" ht="15.5" x14ac:dyDescent="0.35">
      <c r="M31" s="1">
        <v>100000</v>
      </c>
      <c r="N31" s="1">
        <v>10000</v>
      </c>
      <c r="O31" s="1">
        <v>15000</v>
      </c>
      <c r="P31" s="1">
        <v>0.56000000000000005</v>
      </c>
      <c r="Q31" s="7"/>
      <c r="R31" s="7"/>
      <c r="S31" s="7"/>
      <c r="T31" s="7">
        <f t="shared" si="10"/>
        <v>0.18666666666666668</v>
      </c>
      <c r="U31" s="7">
        <f t="shared" si="11"/>
        <v>25000</v>
      </c>
      <c r="V31" s="7">
        <f t="shared" si="12"/>
        <v>4666.4800000000005</v>
      </c>
      <c r="W31" s="7">
        <f t="shared" si="13"/>
        <v>466648000.00000006</v>
      </c>
      <c r="X31" s="7">
        <f t="shared" si="14"/>
        <v>95333.52</v>
      </c>
      <c r="Y31" s="18">
        <f t="shared" si="15"/>
        <v>2.0429428605715655E-4</v>
      </c>
    </row>
    <row r="32" spans="9:29" ht="15.5" x14ac:dyDescent="0.35">
      <c r="Y32" s="19"/>
    </row>
    <row r="33" spans="1:25" ht="15.5" x14ac:dyDescent="0.35">
      <c r="M33" s="1">
        <v>100000</v>
      </c>
      <c r="N33" s="1">
        <v>220000</v>
      </c>
      <c r="O33" s="1">
        <v>1000000</v>
      </c>
      <c r="P33" s="1">
        <v>0.23200000000000001</v>
      </c>
      <c r="Q33" s="7"/>
      <c r="R33" s="7"/>
      <c r="S33" s="7"/>
      <c r="T33" s="7">
        <f t="shared" si="10"/>
        <v>7.7333333333333337E-2</v>
      </c>
      <c r="U33" s="7">
        <f t="shared" si="11"/>
        <v>1220000</v>
      </c>
      <c r="V33" s="7">
        <f t="shared" si="12"/>
        <v>94346.589333333337</v>
      </c>
      <c r="W33" s="7">
        <f t="shared" si="13"/>
        <v>9434658933.333334</v>
      </c>
      <c r="X33" s="7">
        <f t="shared" si="14"/>
        <v>5653.410666666663</v>
      </c>
      <c r="Y33" s="18">
        <f>X33/W33</f>
        <v>5.9921728030811514E-7</v>
      </c>
    </row>
    <row r="34" spans="1:25" ht="15.5" x14ac:dyDescent="0.35">
      <c r="M34" s="1">
        <v>220000</v>
      </c>
      <c r="N34" s="16">
        <v>1000000</v>
      </c>
      <c r="O34" s="16">
        <v>100000</v>
      </c>
      <c r="P34" s="1">
        <v>0.505</v>
      </c>
      <c r="Q34" s="7"/>
      <c r="R34" s="7"/>
      <c r="S34" s="7"/>
      <c r="T34" s="7">
        <f t="shared" si="10"/>
        <v>0.16833333333333333</v>
      </c>
      <c r="U34" s="7">
        <f t="shared" si="11"/>
        <v>1100000</v>
      </c>
      <c r="V34" s="7">
        <f t="shared" si="12"/>
        <v>185166.49833333332</v>
      </c>
      <c r="W34" s="7">
        <f t="shared" si="13"/>
        <v>40736629633.333328</v>
      </c>
      <c r="X34" s="7">
        <f t="shared" si="14"/>
        <v>34833.501666666678</v>
      </c>
      <c r="Y34" s="18">
        <f>X34/W34</f>
        <v>8.5509041813718604E-7</v>
      </c>
    </row>
    <row r="35" spans="1:25" ht="15.5" x14ac:dyDescent="0.35">
      <c r="M35" s="1">
        <v>1000000</v>
      </c>
      <c r="N35" s="1">
        <v>100000</v>
      </c>
      <c r="O35" s="1">
        <v>220000</v>
      </c>
      <c r="P35" s="1">
        <v>2.3029999999999999</v>
      </c>
      <c r="Q35" s="7"/>
      <c r="R35" s="7"/>
      <c r="S35" s="7"/>
      <c r="T35" s="7">
        <f t="shared" si="10"/>
        <v>0.76766666666666661</v>
      </c>
      <c r="U35" s="7">
        <f t="shared" si="11"/>
        <v>320000</v>
      </c>
      <c r="V35" s="7">
        <f t="shared" si="12"/>
        <v>245652.56566666663</v>
      </c>
      <c r="W35" s="7">
        <f t="shared" si="13"/>
        <v>245652565666.66663</v>
      </c>
      <c r="X35" s="7">
        <f t="shared" si="14"/>
        <v>754347.4343333334</v>
      </c>
      <c r="Y35" s="18">
        <f t="shared" si="15"/>
        <v>3.0707899682876921E-6</v>
      </c>
    </row>
    <row r="36" spans="1:25" x14ac:dyDescent="0.35">
      <c r="V36" s="7"/>
    </row>
    <row r="37" spans="1:25" ht="41.5" customHeight="1" x14ac:dyDescent="0.35">
      <c r="A37" s="17" t="s">
        <v>37</v>
      </c>
      <c r="B37" s="17" t="s">
        <v>38</v>
      </c>
      <c r="C37" s="17" t="s">
        <v>39</v>
      </c>
      <c r="D37" s="17" t="s">
        <v>40</v>
      </c>
      <c r="E37" s="17" t="s">
        <v>41</v>
      </c>
      <c r="F37" s="17" t="s">
        <v>53</v>
      </c>
      <c r="H37" s="17"/>
      <c r="I37" s="17"/>
      <c r="J37" s="17"/>
      <c r="K37" s="17"/>
      <c r="L37" s="17"/>
      <c r="M37" s="17"/>
      <c r="N37" s="17" t="s">
        <v>30</v>
      </c>
      <c r="O37" s="17"/>
      <c r="P37" s="17"/>
      <c r="Q37" s="17" t="s">
        <v>31</v>
      </c>
    </row>
    <row r="38" spans="1:25" ht="33" customHeight="1" x14ac:dyDescent="0.35">
      <c r="A38" s="23">
        <v>1</v>
      </c>
      <c r="B38" s="24" t="s">
        <v>44</v>
      </c>
      <c r="C38" s="24" t="s">
        <v>48</v>
      </c>
      <c r="D38" s="23">
        <v>0.75</v>
      </c>
      <c r="E38" s="27">
        <v>0.7</v>
      </c>
      <c r="F38" s="33">
        <f>(E38-D38)/D38*100</f>
        <v>-6.6666666666666723</v>
      </c>
      <c r="G38" s="34"/>
      <c r="H38" s="6" t="s">
        <v>21</v>
      </c>
      <c r="I38" s="6" t="s">
        <v>22</v>
      </c>
      <c r="J38" s="6" t="s">
        <v>23</v>
      </c>
      <c r="K38" s="6" t="s">
        <v>27</v>
      </c>
      <c r="L38" s="6" t="s">
        <v>24</v>
      </c>
      <c r="M38" s="6" t="s">
        <v>29</v>
      </c>
      <c r="N38" s="6" t="s">
        <v>34</v>
      </c>
      <c r="O38" s="6" t="s">
        <v>35</v>
      </c>
      <c r="P38" s="6" t="s">
        <v>25</v>
      </c>
      <c r="Q38" s="6" t="s">
        <v>26</v>
      </c>
      <c r="R38" s="6" t="s">
        <v>35</v>
      </c>
      <c r="S38" s="6" t="s">
        <v>25</v>
      </c>
    </row>
    <row r="39" spans="1:25" ht="15.5" customHeight="1" x14ac:dyDescent="0.35">
      <c r="A39" s="23"/>
      <c r="B39" s="24"/>
      <c r="C39" s="24"/>
      <c r="D39" s="23"/>
      <c r="E39" s="27">
        <v>0.7</v>
      </c>
      <c r="F39" s="33">
        <f>(E39-D38)/D38*100</f>
        <v>-6.6666666666666723</v>
      </c>
      <c r="G39" s="34"/>
      <c r="H39"/>
    </row>
    <row r="40" spans="1:25" ht="15.5" customHeight="1" x14ac:dyDescent="0.35">
      <c r="A40" s="23">
        <v>2</v>
      </c>
      <c r="B40" s="24" t="s">
        <v>45</v>
      </c>
      <c r="C40" s="24" t="s">
        <v>49</v>
      </c>
      <c r="D40" s="23">
        <v>0.75</v>
      </c>
      <c r="E40" s="27">
        <v>0.15</v>
      </c>
      <c r="F40" s="33">
        <f>(E40-D40)/D40*100</f>
        <v>-80</v>
      </c>
      <c r="G40" s="34"/>
      <c r="H40"/>
    </row>
    <row r="41" spans="1:25" ht="15.5" x14ac:dyDescent="0.35">
      <c r="A41" s="23"/>
      <c r="B41" s="24"/>
      <c r="C41" s="24"/>
      <c r="D41" s="23"/>
      <c r="E41" s="27">
        <v>0.65</v>
      </c>
      <c r="F41" s="33">
        <f>(E41-D40)/D40*100</f>
        <v>-13.33333333333333</v>
      </c>
      <c r="G41" s="34"/>
      <c r="H41"/>
    </row>
    <row r="42" spans="1:25" ht="15.5" customHeight="1" x14ac:dyDescent="0.35">
      <c r="A42" s="23">
        <v>3</v>
      </c>
      <c r="B42" s="24" t="s">
        <v>46</v>
      </c>
      <c r="C42" s="25" t="s">
        <v>50</v>
      </c>
      <c r="D42" s="23">
        <v>0.75</v>
      </c>
      <c r="E42" s="27">
        <v>0.3</v>
      </c>
      <c r="F42" s="33">
        <f>(E42-D42)/D42*100</f>
        <v>-60</v>
      </c>
      <c r="G42" s="34"/>
      <c r="H42"/>
    </row>
    <row r="43" spans="1:25" ht="15.5" x14ac:dyDescent="0.35">
      <c r="A43" s="23"/>
      <c r="B43" s="24"/>
      <c r="C43" s="25"/>
      <c r="D43" s="23"/>
      <c r="E43" s="27">
        <v>7.4999999999999997E-2</v>
      </c>
      <c r="F43" s="33">
        <f>(E43-D42)/D42*100</f>
        <v>-90</v>
      </c>
      <c r="G43" s="34"/>
      <c r="H43"/>
    </row>
    <row r="44" spans="1:25" ht="15.5" customHeight="1" x14ac:dyDescent="0.35">
      <c r="A44" s="23">
        <v>4</v>
      </c>
      <c r="B44" s="24" t="s">
        <v>47</v>
      </c>
      <c r="C44" s="25" t="s">
        <v>51</v>
      </c>
      <c r="D44" s="23">
        <v>0.75</v>
      </c>
      <c r="E44" s="27">
        <v>0.2</v>
      </c>
      <c r="F44" s="33">
        <f>(E44-D44)/D44*100</f>
        <v>-73.333333333333343</v>
      </c>
      <c r="G44" s="34"/>
      <c r="H44"/>
    </row>
    <row r="45" spans="1:25" ht="15.5" x14ac:dyDescent="0.35">
      <c r="A45" s="23"/>
      <c r="B45" s="24"/>
      <c r="C45" s="25"/>
      <c r="D45" s="23"/>
      <c r="E45" s="27">
        <v>0.49</v>
      </c>
      <c r="F45" s="33">
        <f>(E45-D44)/D44*100</f>
        <v>-34.666666666666671</v>
      </c>
      <c r="G45" s="34"/>
      <c r="H45"/>
      <c r="L45" s="35"/>
    </row>
    <row r="46" spans="1:25" ht="15.5" customHeight="1" x14ac:dyDescent="0.35">
      <c r="A46" s="23">
        <v>5</v>
      </c>
      <c r="B46" s="25" t="s">
        <v>43</v>
      </c>
      <c r="C46" s="25" t="s">
        <v>52</v>
      </c>
      <c r="D46" s="23">
        <v>0.75</v>
      </c>
      <c r="E46" s="27">
        <v>0.05</v>
      </c>
      <c r="F46" s="33">
        <f>(E46-D46)/D46*100</f>
        <v>-93.333333333333329</v>
      </c>
      <c r="G46" s="34"/>
      <c r="H46"/>
      <c r="L46" s="35"/>
    </row>
    <row r="47" spans="1:25" ht="15.5" x14ac:dyDescent="0.35">
      <c r="A47" s="23"/>
      <c r="B47" s="25"/>
      <c r="C47" s="25"/>
      <c r="D47" s="23"/>
      <c r="E47" s="27">
        <v>0.2</v>
      </c>
      <c r="F47" s="33">
        <f>(E47-D46)/D46*100</f>
        <v>-73.333333333333343</v>
      </c>
      <c r="G47" s="34"/>
      <c r="H47"/>
      <c r="L47" s="35"/>
    </row>
    <row r="48" spans="1:25" x14ac:dyDescent="0.35">
      <c r="E48" s="26"/>
      <c r="F48"/>
      <c r="G48"/>
      <c r="H48"/>
      <c r="L48" s="35"/>
    </row>
    <row r="49" spans="1:12" ht="15" x14ac:dyDescent="0.35">
      <c r="A49" s="17" t="s">
        <v>37</v>
      </c>
      <c r="B49" s="17" t="s">
        <v>38</v>
      </c>
      <c r="C49" s="17" t="s">
        <v>39</v>
      </c>
      <c r="D49" s="17" t="s">
        <v>40</v>
      </c>
      <c r="E49" s="17" t="s">
        <v>42</v>
      </c>
      <c r="F49" s="17" t="s">
        <v>53</v>
      </c>
      <c r="G49"/>
      <c r="H49"/>
      <c r="L49" s="36"/>
    </row>
    <row r="50" spans="1:12" ht="15.5" customHeight="1" x14ac:dyDescent="0.35">
      <c r="A50" s="23">
        <v>1</v>
      </c>
      <c r="B50" s="24" t="s">
        <v>44</v>
      </c>
      <c r="C50" s="24" t="s">
        <v>48</v>
      </c>
      <c r="D50" s="23">
        <v>0.75</v>
      </c>
      <c r="E50" s="28">
        <v>0</v>
      </c>
      <c r="F50" s="31">
        <f>(E50-D50)/D50*100</f>
        <v>-100</v>
      </c>
      <c r="G50"/>
      <c r="H50"/>
      <c r="L50" s="36"/>
    </row>
    <row r="51" spans="1:12" ht="15.5" customHeight="1" x14ac:dyDescent="0.35">
      <c r="A51" s="23"/>
      <c r="B51" s="24"/>
      <c r="C51" s="24"/>
      <c r="D51" s="23"/>
      <c r="E51" s="28"/>
      <c r="F51" s="32"/>
      <c r="G51"/>
      <c r="H51"/>
    </row>
    <row r="52" spans="1:12" ht="15.5" customHeight="1" x14ac:dyDescent="0.35">
      <c r="A52" s="23">
        <v>2</v>
      </c>
      <c r="B52" s="24" t="s">
        <v>45</v>
      </c>
      <c r="C52" s="24" t="s">
        <v>49</v>
      </c>
      <c r="D52" s="23">
        <v>0.75</v>
      </c>
      <c r="E52" s="29">
        <v>0</v>
      </c>
      <c r="F52" s="31">
        <f>(E52-D52)/D52*100</f>
        <v>-100</v>
      </c>
      <c r="G52"/>
      <c r="H52"/>
    </row>
    <row r="53" spans="1:12" ht="15.5" customHeight="1" x14ac:dyDescent="0.35">
      <c r="A53" s="23"/>
      <c r="B53" s="24"/>
      <c r="C53" s="24"/>
      <c r="D53" s="23"/>
      <c r="E53" s="29"/>
      <c r="F53" s="32"/>
      <c r="G53"/>
      <c r="H53"/>
    </row>
    <row r="54" spans="1:12" ht="15.5" customHeight="1" x14ac:dyDescent="0.35">
      <c r="A54" s="23">
        <v>3</v>
      </c>
      <c r="B54" s="24" t="s">
        <v>46</v>
      </c>
      <c r="C54" s="25" t="s">
        <v>50</v>
      </c>
      <c r="D54" s="23">
        <v>0.75</v>
      </c>
      <c r="E54" s="23">
        <v>0.70199999999999996</v>
      </c>
      <c r="F54" s="31">
        <f t="shared" ref="F54" si="16">(E54-D54)/D54*100</f>
        <v>-6.4000000000000057</v>
      </c>
      <c r="G54"/>
      <c r="H54"/>
    </row>
    <row r="55" spans="1:12" ht="15.5" customHeight="1" x14ac:dyDescent="0.35">
      <c r="A55" s="23"/>
      <c r="B55" s="24"/>
      <c r="C55" s="25"/>
      <c r="D55" s="23"/>
      <c r="E55" s="23"/>
      <c r="F55" s="32"/>
      <c r="G55"/>
      <c r="H55"/>
    </row>
    <row r="56" spans="1:12" ht="15.5" customHeight="1" x14ac:dyDescent="0.35">
      <c r="A56" s="23">
        <v>4</v>
      </c>
      <c r="B56" s="24" t="s">
        <v>47</v>
      </c>
      <c r="C56" s="25" t="s">
        <v>51</v>
      </c>
      <c r="D56" s="23">
        <v>0.75</v>
      </c>
      <c r="E56" s="23">
        <v>0.69399999999999995</v>
      </c>
      <c r="F56" s="31">
        <f t="shared" ref="F56" si="17">(E56-D56)/D56*100</f>
        <v>-7.466666666666673</v>
      </c>
      <c r="G56"/>
      <c r="H56"/>
    </row>
    <row r="57" spans="1:12" ht="15.5" customHeight="1" x14ac:dyDescent="0.35">
      <c r="A57" s="23"/>
      <c r="B57" s="24"/>
      <c r="C57" s="25"/>
      <c r="D57" s="23"/>
      <c r="E57" s="23"/>
      <c r="F57" s="32"/>
      <c r="G57"/>
      <c r="H57"/>
    </row>
    <row r="58" spans="1:12" ht="15.5" customHeight="1" x14ac:dyDescent="0.35">
      <c r="A58" s="23">
        <v>5</v>
      </c>
      <c r="B58" s="25" t="s">
        <v>43</v>
      </c>
      <c r="C58" s="25" t="s">
        <v>52</v>
      </c>
      <c r="D58" s="23">
        <v>0.75</v>
      </c>
      <c r="E58" s="30">
        <v>0</v>
      </c>
      <c r="F58" s="31">
        <f t="shared" ref="F58" si="18">(E58-D58)/D58*100</f>
        <v>-100</v>
      </c>
      <c r="G58"/>
      <c r="H58"/>
    </row>
    <row r="59" spans="1:12" ht="15.5" customHeight="1" x14ac:dyDescent="0.35">
      <c r="A59" s="23"/>
      <c r="B59" s="25"/>
      <c r="C59" s="25"/>
      <c r="D59" s="23"/>
      <c r="E59" s="30"/>
      <c r="F59" s="32"/>
      <c r="G59"/>
      <c r="H59"/>
    </row>
    <row r="60" spans="1:12" x14ac:dyDescent="0.35">
      <c r="F60"/>
      <c r="G60"/>
      <c r="H60"/>
    </row>
    <row r="61" spans="1:12" x14ac:dyDescent="0.35">
      <c r="F61"/>
      <c r="G61"/>
      <c r="H61"/>
    </row>
    <row r="62" spans="1:12" x14ac:dyDescent="0.35">
      <c r="F62"/>
      <c r="G62"/>
      <c r="H62"/>
    </row>
    <row r="63" spans="1:12" x14ac:dyDescent="0.35">
      <c r="F63"/>
      <c r="G63"/>
      <c r="H63"/>
    </row>
    <row r="64" spans="1:12" x14ac:dyDescent="0.35">
      <c r="F64"/>
      <c r="G64"/>
      <c r="H64"/>
    </row>
    <row r="65" spans="6:8" x14ac:dyDescent="0.35">
      <c r="F65"/>
      <c r="G65"/>
      <c r="H65"/>
    </row>
    <row r="66" spans="6:8" x14ac:dyDescent="0.35">
      <c r="F66"/>
      <c r="G66"/>
      <c r="H66"/>
    </row>
    <row r="67" spans="6:8" x14ac:dyDescent="0.35">
      <c r="F67"/>
      <c r="G67"/>
      <c r="H67"/>
    </row>
  </sheetData>
  <mergeCells count="57">
    <mergeCell ref="F52:F53"/>
    <mergeCell ref="F54:F55"/>
    <mergeCell ref="F56:F57"/>
    <mergeCell ref="F58:F59"/>
    <mergeCell ref="L45:L46"/>
    <mergeCell ref="L47:L48"/>
    <mergeCell ref="L49:L50"/>
    <mergeCell ref="A56:A57"/>
    <mergeCell ref="B56:B57"/>
    <mergeCell ref="C56:C57"/>
    <mergeCell ref="D56:D57"/>
    <mergeCell ref="A58:A59"/>
    <mergeCell ref="B58:B59"/>
    <mergeCell ref="C58:C59"/>
    <mergeCell ref="D58:D59"/>
    <mergeCell ref="A52:A53"/>
    <mergeCell ref="B52:B53"/>
    <mergeCell ref="C52:C53"/>
    <mergeCell ref="D52:D53"/>
    <mergeCell ref="A54:A55"/>
    <mergeCell ref="B54:B55"/>
    <mergeCell ref="C54:C55"/>
    <mergeCell ref="D54:D55"/>
    <mergeCell ref="A1:A2"/>
    <mergeCell ref="C1:E1"/>
    <mergeCell ref="F1:H1"/>
    <mergeCell ref="I1:K1"/>
    <mergeCell ref="A50:A51"/>
    <mergeCell ref="B50:B51"/>
    <mergeCell ref="C50:C51"/>
    <mergeCell ref="D50:D51"/>
    <mergeCell ref="F50:F51"/>
    <mergeCell ref="B38:B39"/>
    <mergeCell ref="C38:C39"/>
    <mergeCell ref="D38:D39"/>
    <mergeCell ref="A38:A39"/>
    <mergeCell ref="E50:E51"/>
    <mergeCell ref="E52:E53"/>
    <mergeCell ref="E54:E55"/>
    <mergeCell ref="E56:E57"/>
    <mergeCell ref="E58:E59"/>
    <mergeCell ref="D40:D41"/>
    <mergeCell ref="D42:D43"/>
    <mergeCell ref="D44:D45"/>
    <mergeCell ref="D46:D47"/>
    <mergeCell ref="A40:A41"/>
    <mergeCell ref="A42:A43"/>
    <mergeCell ref="A44:A45"/>
    <mergeCell ref="A46:A47"/>
    <mergeCell ref="C40:C41"/>
    <mergeCell ref="C42:C43"/>
    <mergeCell ref="C44:C45"/>
    <mergeCell ref="C46:C47"/>
    <mergeCell ref="B40:B41"/>
    <mergeCell ref="B42:B43"/>
    <mergeCell ref="B44:B45"/>
    <mergeCell ref="B46:B47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DEVITA</dc:creator>
  <cp:lastModifiedBy>DEVITA</cp:lastModifiedBy>
  <dcterms:created xsi:type="dcterms:W3CDTF">2022-09-09T08:16:44Z</dcterms:created>
  <dcterms:modified xsi:type="dcterms:W3CDTF">2022-09-17T10:40:09Z</dcterms:modified>
</cp:coreProperties>
</file>