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e18f628b438c14/Documents/"/>
    </mc:Choice>
  </mc:AlternateContent>
  <xr:revisionPtr revIDLastSave="4" documentId="10_ncr:0_{71834D71-DC5A-4EDA-8536-A81523F8CDAB}" xr6:coauthVersionLast="43" xr6:coauthVersionMax="43" xr10:uidLastSave="{78559C94-A456-4168-A755-05FB83D8A6A3}"/>
  <bookViews>
    <workbookView minimized="1" xWindow="8565" yWindow="0" windowWidth="11895" windowHeight="6735" xr2:uid="{C1A15A48-9C63-4AC1-A9CD-C1CAAF3123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1" l="1"/>
  <c r="D28" i="1"/>
  <c r="B28" i="1"/>
  <c r="B21" i="1"/>
  <c r="O28" i="1"/>
  <c r="M28" i="1"/>
  <c r="K28" i="1"/>
  <c r="O22" i="1"/>
  <c r="M22" i="1"/>
  <c r="O21" i="1"/>
  <c r="M21" i="1"/>
  <c r="K22" i="1"/>
  <c r="M20" i="1"/>
  <c r="O20" i="1"/>
  <c r="K20" i="1"/>
  <c r="B20" i="1"/>
  <c r="B19" i="1"/>
  <c r="D20" i="1"/>
  <c r="D21" i="1"/>
  <c r="K21" i="1"/>
  <c r="M19" i="1"/>
  <c r="K19" i="1"/>
  <c r="O17" i="1"/>
  <c r="M17" i="1"/>
  <c r="F22" i="1" l="1"/>
  <c r="D22" i="1"/>
  <c r="B22" i="1"/>
  <c r="F21" i="1"/>
  <c r="F20" i="1"/>
  <c r="F19" i="1"/>
  <c r="D19" i="1"/>
  <c r="F17" i="1"/>
  <c r="D17" i="1"/>
</calcChain>
</file>

<file path=xl/sharedStrings.xml><?xml version="1.0" encoding="utf-8"?>
<sst xmlns="http://schemas.openxmlformats.org/spreadsheetml/2006/main" count="39" uniqueCount="28">
  <si>
    <t>No.</t>
  </si>
  <si>
    <t>R Real</t>
  </si>
  <si>
    <t>Mean</t>
  </si>
  <si>
    <t>Range</t>
  </si>
  <si>
    <t>Modus</t>
  </si>
  <si>
    <t>Median</t>
  </si>
  <si>
    <t>Q3</t>
  </si>
  <si>
    <t>Q1</t>
  </si>
  <si>
    <t>H</t>
  </si>
  <si>
    <t>L</t>
  </si>
  <si>
    <t>Pencilan</t>
  </si>
  <si>
    <t>Standar Deviasi</t>
  </si>
  <si>
    <t>Pagar dalam</t>
  </si>
  <si>
    <t>Pagar luar</t>
  </si>
  <si>
    <t>no.</t>
  </si>
  <si>
    <t xml:space="preserve"> R Real</t>
  </si>
  <si>
    <t>mean</t>
  </si>
  <si>
    <t>range</t>
  </si>
  <si>
    <t>modus</t>
  </si>
  <si>
    <t>median</t>
  </si>
  <si>
    <t>q3</t>
  </si>
  <si>
    <t>q1</t>
  </si>
  <si>
    <t>pencilan</t>
  </si>
  <si>
    <t>pagar dalam</t>
  </si>
  <si>
    <t>pagar luar</t>
  </si>
  <si>
    <t>standar deviasi</t>
  </si>
  <si>
    <t>error</t>
  </si>
  <si>
    <t>bagi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</si>
</sst>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F5AB8-3629-4342-AD9A-C09B49AF7833}">
  <dimension ref="A1:O30"/>
  <sheetViews>
    <sheetView tabSelected="1" topLeftCell="A13" workbookViewId="0">
      <selection activeCell="J17" sqref="J17:O30"/>
    </sheetView>
  </sheetViews>
  <sheetFormatPr defaultRowHeight="15" x14ac:dyDescent="0.25"/>
  <cols>
    <col min="1" max="1" width="15.7109375" customWidth="1"/>
    <col min="10" max="10" width="20.7109375" customWidth="1"/>
  </cols>
  <sheetData>
    <row r="1" spans="1:15" x14ac:dyDescent="0.25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J1" t="s">
        <v>14</v>
      </c>
      <c r="K1" t="s">
        <v>15</v>
      </c>
      <c r="L1" t="s">
        <v>14</v>
      </c>
      <c r="M1" t="s">
        <v>15</v>
      </c>
      <c r="N1" t="s">
        <v>14</v>
      </c>
      <c r="O1" t="s">
        <v>1</v>
      </c>
    </row>
    <row r="2" spans="1:15" x14ac:dyDescent="0.25">
      <c r="B2">
        <v>320</v>
      </c>
      <c r="D2">
        <v>320</v>
      </c>
      <c r="F2">
        <v>320</v>
      </c>
      <c r="K2">
        <v>971</v>
      </c>
      <c r="M2">
        <v>971</v>
      </c>
      <c r="O2">
        <v>974</v>
      </c>
    </row>
    <row r="3" spans="1:15" x14ac:dyDescent="0.25">
      <c r="B3">
        <v>320</v>
      </c>
      <c r="D3">
        <v>320</v>
      </c>
      <c r="F3">
        <v>320</v>
      </c>
      <c r="K3">
        <v>971</v>
      </c>
      <c r="M3">
        <v>971</v>
      </c>
      <c r="O3">
        <v>975</v>
      </c>
    </row>
    <row r="4" spans="1:15" x14ac:dyDescent="0.25">
      <c r="B4">
        <v>320</v>
      </c>
      <c r="D4">
        <v>321</v>
      </c>
      <c r="F4">
        <v>320</v>
      </c>
      <c r="K4">
        <v>972</v>
      </c>
      <c r="M4">
        <v>973</v>
      </c>
      <c r="O4">
        <v>960</v>
      </c>
    </row>
    <row r="5" spans="1:15" x14ac:dyDescent="0.25">
      <c r="B5">
        <v>320</v>
      </c>
      <c r="D5">
        <v>321</v>
      </c>
      <c r="F5">
        <v>321</v>
      </c>
      <c r="K5">
        <v>973</v>
      </c>
      <c r="M5">
        <v>975</v>
      </c>
      <c r="O5">
        <v>983</v>
      </c>
    </row>
    <row r="6" spans="1:15" x14ac:dyDescent="0.25">
      <c r="B6">
        <v>320</v>
      </c>
      <c r="D6">
        <v>321</v>
      </c>
      <c r="F6">
        <v>322</v>
      </c>
      <c r="K6">
        <v>975</v>
      </c>
      <c r="M6">
        <v>978</v>
      </c>
      <c r="O6">
        <v>987</v>
      </c>
    </row>
    <row r="7" spans="1:15" x14ac:dyDescent="0.25">
      <c r="B7">
        <v>321</v>
      </c>
      <c r="D7">
        <v>321</v>
      </c>
      <c r="K7">
        <v>975</v>
      </c>
      <c r="M7">
        <v>980</v>
      </c>
    </row>
    <row r="8" spans="1:15" x14ac:dyDescent="0.25">
      <c r="B8">
        <v>321</v>
      </c>
      <c r="D8">
        <v>321</v>
      </c>
      <c r="K8">
        <v>979</v>
      </c>
      <c r="M8">
        <v>983</v>
      </c>
    </row>
    <row r="9" spans="1:15" x14ac:dyDescent="0.25">
      <c r="B9">
        <v>321</v>
      </c>
      <c r="D9">
        <v>322</v>
      </c>
      <c r="K9">
        <v>979</v>
      </c>
      <c r="M9">
        <v>983</v>
      </c>
    </row>
    <row r="10" spans="1:15" x14ac:dyDescent="0.25">
      <c r="B10">
        <v>321</v>
      </c>
      <c r="D10">
        <v>322</v>
      </c>
      <c r="K10">
        <v>980</v>
      </c>
      <c r="M10">
        <v>983</v>
      </c>
    </row>
    <row r="11" spans="1:15" x14ac:dyDescent="0.25">
      <c r="B11">
        <v>321</v>
      </c>
      <c r="D11">
        <v>323</v>
      </c>
      <c r="K11">
        <v>981</v>
      </c>
      <c r="M11">
        <v>987</v>
      </c>
    </row>
    <row r="12" spans="1:15" x14ac:dyDescent="0.25">
      <c r="B12">
        <v>321</v>
      </c>
      <c r="K12">
        <v>983</v>
      </c>
    </row>
    <row r="13" spans="1:15" x14ac:dyDescent="0.25">
      <c r="B13">
        <v>322</v>
      </c>
      <c r="K13">
        <v>983</v>
      </c>
    </row>
    <row r="14" spans="1:15" x14ac:dyDescent="0.25">
      <c r="B14">
        <v>322</v>
      </c>
      <c r="K14">
        <v>983</v>
      </c>
    </row>
    <row r="15" spans="1:15" x14ac:dyDescent="0.25">
      <c r="B15">
        <v>322</v>
      </c>
      <c r="K15">
        <v>985</v>
      </c>
    </row>
    <row r="16" spans="1:15" x14ac:dyDescent="0.25">
      <c r="B16">
        <v>322</v>
      </c>
      <c r="K16">
        <v>987</v>
      </c>
    </row>
    <row r="17" spans="1:15" x14ac:dyDescent="0.25">
      <c r="A17" t="s">
        <v>2</v>
      </c>
      <c r="B17">
        <v>320.93</v>
      </c>
      <c r="D17">
        <f>AVERAGE(D2:D16)</f>
        <v>321.2</v>
      </c>
      <c r="F17">
        <f>AVERAGE(F2:F16)</f>
        <v>320.60000000000002</v>
      </c>
      <c r="J17" t="s">
        <v>16</v>
      </c>
      <c r="K17">
        <v>978.46</v>
      </c>
      <c r="M17">
        <f>AVERAGE(M2:M11)</f>
        <v>978.4</v>
      </c>
      <c r="O17">
        <f>AVERAGE(O2:O6)</f>
        <v>975.8</v>
      </c>
    </row>
    <row r="18" spans="1:15" x14ac:dyDescent="0.25">
      <c r="A18" t="s">
        <v>3</v>
      </c>
      <c r="B18">
        <v>2</v>
      </c>
      <c r="D18">
        <v>3</v>
      </c>
      <c r="F18">
        <v>2</v>
      </c>
      <c r="J18" t="s">
        <v>17</v>
      </c>
      <c r="K18">
        <v>16</v>
      </c>
      <c r="M18">
        <v>16</v>
      </c>
      <c r="O18">
        <v>13</v>
      </c>
    </row>
    <row r="19" spans="1:15" x14ac:dyDescent="0.25">
      <c r="A19" t="s">
        <v>4</v>
      </c>
      <c r="B19">
        <f>_xlfn.MODE.SNGL(B2:B16)</f>
        <v>321</v>
      </c>
      <c r="D19">
        <f>_xlfn.MODE.SNGL(D2:D11)</f>
        <v>321</v>
      </c>
      <c r="F19">
        <f>_xlfn.MODE.SNGL(F2:F6)</f>
        <v>320</v>
      </c>
      <c r="J19" t="s">
        <v>18</v>
      </c>
      <c r="K19">
        <f>_xlfn.MODE.SNGL(K2:K16)</f>
        <v>983</v>
      </c>
      <c r="M19">
        <f>_xlfn.MODE.SNGL(M2:M11)</f>
        <v>983</v>
      </c>
    </row>
    <row r="20" spans="1:15" x14ac:dyDescent="0.25">
      <c r="A20" t="s">
        <v>5</v>
      </c>
      <c r="B20">
        <f>MEDIAN(B2:B16)</f>
        <v>321</v>
      </c>
      <c r="D20">
        <f>MEDIAN(D2:D11)</f>
        <v>321</v>
      </c>
      <c r="F20">
        <f>MEDIAN(F2:F6)</f>
        <v>320</v>
      </c>
      <c r="J20" t="s">
        <v>19</v>
      </c>
      <c r="K20">
        <f>MEDIAN(K2:K16)</f>
        <v>979</v>
      </c>
      <c r="M20">
        <f>MEDIAN(M2:M11)</f>
        <v>979</v>
      </c>
      <c r="O20">
        <f>MEDIAN(O2:O6)</f>
        <v>975</v>
      </c>
    </row>
    <row r="21" spans="1:15" x14ac:dyDescent="0.25">
      <c r="A21" t="s">
        <v>6</v>
      </c>
      <c r="B21">
        <f>_xlfn.QUARTILE.EXC(B2:B16,3)</f>
        <v>322</v>
      </c>
      <c r="D21">
        <f>_xlfn.QUARTILE.EXC(D2:D11,3)</f>
        <v>322</v>
      </c>
      <c r="F21">
        <f>_xlfn.QUARTILE.EXC(F2:F6,3)</f>
        <v>321.5</v>
      </c>
      <c r="J21" t="s">
        <v>20</v>
      </c>
      <c r="K21">
        <f>_xlfn.QUARTILE.EXC(K2:K16,3)</f>
        <v>983</v>
      </c>
      <c r="M21">
        <f>_xlfn.QUARTILE.EXC(M2:M11,3)</f>
        <v>983</v>
      </c>
      <c r="O21">
        <f>_xlfn.QUARTILE.EXC(O2:O6,3)</f>
        <v>985</v>
      </c>
    </row>
    <row r="22" spans="1:15" x14ac:dyDescent="0.25">
      <c r="A22" t="s">
        <v>7</v>
      </c>
      <c r="B22">
        <f>_xlfn.QUARTILE.EXC(B2:B16,1)</f>
        <v>320</v>
      </c>
      <c r="D22">
        <f>_xlfn.QUARTILE.EXC(D2:D11,1)</f>
        <v>320.75</v>
      </c>
      <c r="F22">
        <f>_xlfn.QUARTILE.EXC(F2:F6,1)</f>
        <v>320</v>
      </c>
      <c r="J22" t="s">
        <v>21</v>
      </c>
      <c r="K22">
        <f>_xlfn.QUARTILE.EXC(K2:K16,1)</f>
        <v>973</v>
      </c>
      <c r="M22">
        <f>_xlfn.QUARTILE.EXC(M2:M11,1)</f>
        <v>972.5</v>
      </c>
      <c r="O22">
        <f>_xlfn.QUARTILE.EXC(O2:O6,1)</f>
        <v>967</v>
      </c>
    </row>
    <row r="23" spans="1:15" x14ac:dyDescent="0.25">
      <c r="A23" t="s">
        <v>8</v>
      </c>
      <c r="B23">
        <v>2</v>
      </c>
      <c r="D23">
        <v>1.25</v>
      </c>
      <c r="F23">
        <v>1.5</v>
      </c>
      <c r="J23" t="s">
        <v>8</v>
      </c>
      <c r="K23">
        <v>10</v>
      </c>
      <c r="M23">
        <v>10.5</v>
      </c>
      <c r="O23">
        <v>18</v>
      </c>
    </row>
    <row r="24" spans="1:15" x14ac:dyDescent="0.25">
      <c r="A24" t="s">
        <v>9</v>
      </c>
      <c r="B24">
        <v>3</v>
      </c>
      <c r="D24">
        <v>1.875</v>
      </c>
      <c r="F24">
        <v>2.25</v>
      </c>
      <c r="J24" t="s">
        <v>9</v>
      </c>
      <c r="K24">
        <v>15</v>
      </c>
      <c r="M24">
        <v>15.75</v>
      </c>
      <c r="O24">
        <v>27</v>
      </c>
    </row>
    <row r="25" spans="1:15" x14ac:dyDescent="0.25">
      <c r="A25" t="s">
        <v>10</v>
      </c>
      <c r="J25" t="s">
        <v>22</v>
      </c>
    </row>
    <row r="26" spans="1:15" x14ac:dyDescent="0.25">
      <c r="A26" t="s">
        <v>12</v>
      </c>
      <c r="B26">
        <v>317</v>
      </c>
      <c r="D26">
        <v>318.875</v>
      </c>
      <c r="F26">
        <v>317.75</v>
      </c>
      <c r="J26" t="s">
        <v>23</v>
      </c>
      <c r="K26">
        <v>958</v>
      </c>
      <c r="M26">
        <v>956.75</v>
      </c>
      <c r="O26">
        <v>940</v>
      </c>
    </row>
    <row r="27" spans="1:15" x14ac:dyDescent="0.25">
      <c r="A27" t="s">
        <v>13</v>
      </c>
      <c r="B27">
        <v>325</v>
      </c>
      <c r="D27">
        <v>323.875</v>
      </c>
      <c r="F27">
        <v>323.75</v>
      </c>
      <c r="J27" t="s">
        <v>24</v>
      </c>
      <c r="K27">
        <v>988</v>
      </c>
      <c r="M27">
        <v>988.25</v>
      </c>
      <c r="O27">
        <v>1012</v>
      </c>
    </row>
    <row r="28" spans="1:15" x14ac:dyDescent="0.25">
      <c r="A28" t="s">
        <v>11</v>
      </c>
      <c r="B28">
        <f>_xlfn.STDEV.P(B2:B16)</f>
        <v>0.77172246018601509</v>
      </c>
      <c r="D28">
        <f>_xlfn.STDEV.P(D2:D11)</f>
        <v>0.87177978870813466</v>
      </c>
      <c r="F28">
        <f>_xlfn.STDEV.P(F2:F6)</f>
        <v>0.8</v>
      </c>
      <c r="J28" t="s">
        <v>25</v>
      </c>
      <c r="K28">
        <f>_xlfn.STDEV.P(K2:K16)</f>
        <v>5.1233669484908937</v>
      </c>
      <c r="M28">
        <f>_xlfn.STDEV.P(M2:M11)</f>
        <v>5.3888774341229908</v>
      </c>
      <c r="O28">
        <f>_xlfn.STDEV.P(O2:O6)</f>
        <v>9.2822411086978338</v>
      </c>
    </row>
    <row r="29" spans="1:15" x14ac:dyDescent="0.25">
      <c r="B29" s="1"/>
      <c r="J29" t="s">
        <v>27</v>
      </c>
    </row>
    <row r="30" spans="1:15" x14ac:dyDescent="0.25">
      <c r="A30" t="s">
        <v>26</v>
      </c>
      <c r="B30" s="1">
        <v>2.7E-2</v>
      </c>
      <c r="D30" s="1">
        <v>2.5999999999999999E-2</v>
      </c>
      <c r="F30" s="1">
        <v>2.8000000000000001E-2</v>
      </c>
      <c r="J30" t="s">
        <v>26</v>
      </c>
      <c r="K30" s="1">
        <v>2.154E-2</v>
      </c>
      <c r="M30" s="1">
        <v>2.1600000000000001E-2</v>
      </c>
      <c r="O30" s="1">
        <v>2.4199999999999999E-2</v>
      </c>
    </row>
  </sheetData>
  <sortState ref="J2:O16">
    <sortCondition ref="K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TSANIYA FARIDAH M</dc:creator>
  <cp:lastModifiedBy>TSANIYA FARIDAH M</cp:lastModifiedBy>
  <dcterms:created xsi:type="dcterms:W3CDTF">2021-10-03T14:16:49Z</dcterms:created>
  <dcterms:modified xsi:type="dcterms:W3CDTF">2021-10-04T15:52:41Z</dcterms:modified>
</cp:coreProperties>
</file>